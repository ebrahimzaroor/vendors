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Desktop\"/>
    </mc:Choice>
  </mc:AlternateContent>
  <bookViews>
    <workbookView xWindow="0" yWindow="0" windowWidth="7110" windowHeight="4470" tabRatio="736"/>
  </bookViews>
  <sheets>
    <sheet name="الكل" sheetId="1" r:id="rId1"/>
    <sheet name="قطاع الإنشاءات" sheetId="2" r:id="rId2"/>
    <sheet name="قطاع معماري" sheetId="3" r:id="rId3"/>
    <sheet name="قطاع الكهرباء" sheetId="4" r:id="rId4"/>
    <sheet name="قطاع التيار الخفيف" sheetId="5" r:id="rId5"/>
    <sheet name="قطاع الميكانيكا" sheetId="6" r:id="rId6"/>
    <sheet name="قطاع الاتصالات" sheetId="7" r:id="rId7"/>
    <sheet name="جادة الفن" sheetId="8" r:id="rId8"/>
    <sheet name="القائمة السوداء" sheetId="9" r:id="rId9"/>
    <sheet name="الاعدادات" sheetId="11" r:id="rId10"/>
    <sheet name="Sheet1" sheetId="10" state="hidden" r:id="rId11"/>
  </sheets>
  <definedNames>
    <definedName name="_xlnm._FilterDatabase" localSheetId="3" hidden="1">'قطاع الكهرباء'!$A$1:$S$11</definedName>
    <definedName name="_xlnm.Print_Area" localSheetId="8">'القائمة السوداء'!$A$1:$T$38</definedName>
    <definedName name="Type">الاعدادات!$C$2:$C$4</definedName>
    <definedName name="Z_9D30A969_3113_4BF6_AB8E_2B31C086A125_.wvu.FilterData" localSheetId="3" hidden="1">'قطاع الكهرباء'!$A$1:$S$11</definedName>
    <definedName name="اخرى">'القائمة السوداء'!$B$5:$B$733</definedName>
    <definedName name="الاتصالات">'قطاع الاتصالات'!$B$2:$B$893</definedName>
    <definedName name="الإنشاءات">'قطاع الإنشاءات'!$B:$B</definedName>
    <definedName name="الخفيف">'قطاع التيار الخفيف'!$C$2:$C$366</definedName>
    <definedName name="الفن">'جادة الفن'!$B$2:$B$612</definedName>
    <definedName name="الكهرباء">'قطاع الكهرباء'!$B$2:$B$1109</definedName>
    <definedName name="شء">الكل!$B$4</definedName>
    <definedName name="معماري">'قطاع معماري'!$B:$B</definedName>
    <definedName name="ميكانيكا">'قطاع الميكانيكا'!$B$2:$B$570</definedName>
  </definedNames>
  <calcPr calcId="171027"/>
  <customWorkbookViews>
    <customWorkbookView name="toshiba - Personal View" guid="{9D30A969-3113-4BF6-AB8E-2B31C086A125}" mergeInterval="0" personalView="1" maximized="1" xWindow="-8" yWindow="-8" windowWidth="1382" windowHeight="744" tabRatio="736" activeSheetId="8"/>
  </customWorkbookViews>
</workbook>
</file>

<file path=xl/calcChain.xml><?xml version="1.0" encoding="utf-8"?>
<calcChain xmlns="http://schemas.openxmlformats.org/spreadsheetml/2006/main">
  <c r="W1" i="9" l="1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AP2" i="1" l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</calcChain>
</file>

<file path=xl/sharedStrings.xml><?xml version="1.0" encoding="utf-8"?>
<sst xmlns="http://schemas.openxmlformats.org/spreadsheetml/2006/main" count="1807" uniqueCount="756">
  <si>
    <t>م</t>
  </si>
  <si>
    <t>اسم المنشأة بالعربي</t>
  </si>
  <si>
    <t>اسم المنشأة بالإنجليزي</t>
  </si>
  <si>
    <t>اسم مختصر للمنشأة</t>
  </si>
  <si>
    <t>نشاط المنشأة</t>
  </si>
  <si>
    <t>رقم السجل التجاري</t>
  </si>
  <si>
    <t>عنوان المنشأة</t>
  </si>
  <si>
    <t>رقم هاتف المنشأة</t>
  </si>
  <si>
    <t>رقم فاكس المنشأة</t>
  </si>
  <si>
    <t>صندوق البريد (واصل)</t>
  </si>
  <si>
    <t>اسم المدير</t>
  </si>
  <si>
    <t>رقم الجوال</t>
  </si>
  <si>
    <t>البريد الإلكتروني</t>
  </si>
  <si>
    <t>اسم المندوب</t>
  </si>
  <si>
    <t>رقم الحساب (آيبان)</t>
  </si>
  <si>
    <t>اسم البنك والفرع</t>
  </si>
  <si>
    <t>اسم صاحب الحساب البنكي</t>
  </si>
  <si>
    <t>شركة مصنع بيت المصباح للأعمال المعدنية</t>
  </si>
  <si>
    <t>ــــ</t>
  </si>
  <si>
    <t>يزن علي الهرباوي</t>
  </si>
  <si>
    <t>YAZEN@ALMISBAHHOUSE.COM</t>
  </si>
  <si>
    <t>بشير محمد</t>
  </si>
  <si>
    <t>BASHEER@ALMISBAHHOUSE.COM</t>
  </si>
  <si>
    <t>SA5910000021547363000110</t>
  </si>
  <si>
    <t>علي سعيد الهرباوي
/شركة مصنع بيت المصباح للأعمال المعدنية</t>
  </si>
  <si>
    <t>تصميم الجمال للمقاولات</t>
  </si>
  <si>
    <t>Beauty Design Contracting</t>
  </si>
  <si>
    <t>BDC</t>
  </si>
  <si>
    <t>توريد وتركيب أبواب خشبية ومعدنية</t>
  </si>
  <si>
    <t>الرياض - طريق الملك عبدالله</t>
  </si>
  <si>
    <t>أحمد السيد</t>
  </si>
  <si>
    <t>Ahmed.BDC@live.com
BD_Contracting@hotmail.com</t>
  </si>
  <si>
    <t>SA8840000000006707000284</t>
  </si>
  <si>
    <t>لؤي العنتيت</t>
  </si>
  <si>
    <t>مؤسسة النيل الأبيض للتجارة</t>
  </si>
  <si>
    <t>White Nile For TRD. Est</t>
  </si>
  <si>
    <t>حسين عبدالله عسيري</t>
  </si>
  <si>
    <t>Desoky@WhiteNile-KSA.com</t>
  </si>
  <si>
    <t>إبراهيم الدسوقي قاسم</t>
  </si>
  <si>
    <t>Ibrahimeldesoky73@gmail.com</t>
  </si>
  <si>
    <t>SA3410000020468571000105</t>
  </si>
  <si>
    <t>مؤسسة سعد محمد السبيعي للمقاولات</t>
  </si>
  <si>
    <t>سعد محمد السبيعي</t>
  </si>
  <si>
    <t>ـــــ</t>
  </si>
  <si>
    <t>عصام السعيد خليل السيد</t>
  </si>
  <si>
    <t>SA1580000293608010163711</t>
  </si>
  <si>
    <t>بنك الراجحي</t>
  </si>
  <si>
    <t>شركة منار العمران للتجارة والصناعة</t>
  </si>
  <si>
    <t>Manar Al omran</t>
  </si>
  <si>
    <t>منار العمران</t>
  </si>
  <si>
    <t>Ri-North@Manar.com.sa</t>
  </si>
  <si>
    <t>شركة المواد العمرانية</t>
  </si>
  <si>
    <t xml:space="preserve">الصناعية الثانية </t>
  </si>
  <si>
    <t>SA0680000450608010050099</t>
  </si>
  <si>
    <t>بنك سامبا</t>
  </si>
  <si>
    <t>شركة سيراميك رأس الخيمة المحدودة</t>
  </si>
  <si>
    <t>RAK Ceramics, LLC</t>
  </si>
  <si>
    <t>د.سعيد محمد الربيعة</t>
  </si>
  <si>
    <t>Rabiahs@RAKCerm.com.sa</t>
  </si>
  <si>
    <t>أحمد جمال العربي</t>
  </si>
  <si>
    <t>SA2030400108052310720018</t>
  </si>
  <si>
    <t>Naser Obeed</t>
  </si>
  <si>
    <t>شقراء - الشارع العام</t>
  </si>
  <si>
    <t>أشرف شعبان</t>
  </si>
  <si>
    <t>بنك الأهلي</t>
  </si>
  <si>
    <t>أشرف شعبان عبداللطيف</t>
  </si>
  <si>
    <t>مؤسسة قويد ناجي الصيعري للمقاولات</t>
  </si>
  <si>
    <t>قويد ناجي الصيعري</t>
  </si>
  <si>
    <t>مؤسسة قويد ناجي الصيعري</t>
  </si>
  <si>
    <t>مؤسسة فضيظه صالح بنيه الرشيدي للمقاولات</t>
  </si>
  <si>
    <t>شركة منار العمران للتجارة والصناعة المحدودة</t>
  </si>
  <si>
    <t>مؤسسة ناصر عبيد الرويس للمقاولات</t>
  </si>
  <si>
    <t>عايد عبيد خلف الرشيدي</t>
  </si>
  <si>
    <t>Hossneyhesham5@gmail.com</t>
  </si>
  <si>
    <t xml:space="preserve"> Hossneyhesham5@gmail.com</t>
  </si>
  <si>
    <t>SA738000150608010783148</t>
  </si>
  <si>
    <t>بنك الراحجي</t>
  </si>
  <si>
    <t>شركة الزامل للصناعة والتجارة والنقل</t>
  </si>
  <si>
    <t>الرياض - حي النزهة
- الإمام محمد بن سعود</t>
  </si>
  <si>
    <t>م.سامح علي</t>
  </si>
  <si>
    <t>م.علي عبدالسميع</t>
  </si>
  <si>
    <t>WaleedGaber@zamilco.com</t>
  </si>
  <si>
    <t>م.عمر أبوبكر عفيفي</t>
  </si>
  <si>
    <t>O.Aboubakr@Zamilco.com</t>
  </si>
  <si>
    <t>SA0210000023910659000102</t>
  </si>
  <si>
    <t>البنك الأهلي التجاري</t>
  </si>
  <si>
    <t>شركة الزامل للصناعة
والتجارة والنقل</t>
  </si>
  <si>
    <t xml:space="preserve">Al-Zamil for Industry, Trade
&amp; Transport co. </t>
  </si>
  <si>
    <t>Al-Zamil co.</t>
  </si>
  <si>
    <t>الرياض - طريق الملك فهد
- ميدان القاهرة</t>
  </si>
  <si>
    <t>محمد الياسين</t>
  </si>
  <si>
    <t>Alyasin@Zamilco.com</t>
  </si>
  <si>
    <t>Rawabi@Zamilco.com</t>
  </si>
  <si>
    <t>محمود عصام</t>
  </si>
  <si>
    <t>شركة ركن الجوف</t>
  </si>
  <si>
    <t>خاجا باشا</t>
  </si>
  <si>
    <t>Jouf_est@yahoo.com</t>
  </si>
  <si>
    <t>SA0480000114608010355025</t>
  </si>
  <si>
    <t>مؤسسة واديان للمقاولات</t>
  </si>
  <si>
    <t>Wadyan Contracting Est</t>
  </si>
  <si>
    <t>محمد عبدالرحمن فؤاد</t>
  </si>
  <si>
    <t>أحمد عبدالرؤوف</t>
  </si>
  <si>
    <t>البنك العربي الوطني</t>
  </si>
  <si>
    <t>Fouad@Wadyan.sa</t>
  </si>
  <si>
    <t>SA7130400108095159670014</t>
  </si>
  <si>
    <t>SA565500000009673540010</t>
  </si>
  <si>
    <t>www.kawader.maintenance.tk</t>
  </si>
  <si>
    <t>Alleathy@hotmail.com</t>
  </si>
  <si>
    <t>KAWADER MAINTENENCE</t>
  </si>
  <si>
    <t>مؤسسة كوادر الصيانة للمقاولات</t>
  </si>
  <si>
    <t>كوادر الصيانة</t>
  </si>
  <si>
    <t>الرياض - حي النزهة</t>
  </si>
  <si>
    <t>محمد السيد</t>
  </si>
  <si>
    <t>البنك السعودي الفرنسي</t>
  </si>
  <si>
    <t>شركة اوتو كومبوارميتال المحدودة</t>
  </si>
  <si>
    <t>بسام الحاج محمد</t>
  </si>
  <si>
    <t>SA5655000000082069800158</t>
  </si>
  <si>
    <t>OUTO ARMETAL</t>
  </si>
  <si>
    <t>Dar Tubal Factury</t>
  </si>
  <si>
    <t>مصنع دار توبل للألمنيوم</t>
  </si>
  <si>
    <t xml:space="preserve">الرياض - حي السلي 
- شارع اسطنبول </t>
  </si>
  <si>
    <t>عبدالعظيم أحمد
الصاوي</t>
  </si>
  <si>
    <t>غسان خليل محمد مسمار</t>
  </si>
  <si>
    <t xml:space="preserve">الراجحي فرع الشركات
</t>
  </si>
  <si>
    <t>صالح محمد صالح الحركان</t>
  </si>
  <si>
    <t>A.sawy@tubal-sa.com</t>
  </si>
  <si>
    <t>Ghassan.msmar@tubal-sa.com</t>
  </si>
  <si>
    <t>البنك العربي</t>
  </si>
  <si>
    <t>الدمام - بجوار مبنى الإذاعة للتلفزيون</t>
  </si>
  <si>
    <t>بسيوني محمد محمود</t>
  </si>
  <si>
    <t>جمال يوسف قناوي</t>
  </si>
  <si>
    <t>577608010001256 الراجحي</t>
  </si>
  <si>
    <t>Costruction Materials .Co</t>
  </si>
  <si>
    <t>ص.ب 5258 - 11422</t>
  </si>
  <si>
    <t>حمد السواجي</t>
  </si>
  <si>
    <t>سعيد شحبل</t>
  </si>
  <si>
    <t>Abu_joud@hotmail.com</t>
  </si>
  <si>
    <t>ص.ب 68647 - 11537</t>
  </si>
  <si>
    <t>Arabia@RAKCerm.com.sa</t>
  </si>
  <si>
    <t>Alawame.Ashraf@yahoo.com</t>
  </si>
  <si>
    <t xml:space="preserve"> 27357110000103 الأهلي</t>
  </si>
  <si>
    <t xml:space="preserve">الرياض - الملز - شارع الإحساء </t>
  </si>
  <si>
    <t>Gh_1400@hotmail.com</t>
  </si>
  <si>
    <t>طاهر أقبال ظفار</t>
  </si>
  <si>
    <t>Gnhal77@gmail.com</t>
  </si>
  <si>
    <t>29754366000110 الأهلي</t>
  </si>
  <si>
    <t>Fadedah Saleh Alrashidi Contract</t>
  </si>
  <si>
    <t>ينبع البحر - حي الأقيطة</t>
  </si>
  <si>
    <t>هشام حسني علي غريب</t>
  </si>
  <si>
    <t>ص.ب 41397 - 11521</t>
  </si>
  <si>
    <t>بنك الأهلي التجاري</t>
  </si>
  <si>
    <t xml:space="preserve">الرياض - الصناعية القديمة </t>
  </si>
  <si>
    <t>الرياض - حي التعاون -  شارع دمياط</t>
  </si>
  <si>
    <t>2620 - 12477 / 7974 
ص.ب 47432 - 11552</t>
  </si>
  <si>
    <t>Info@Wadyan.sa</t>
  </si>
  <si>
    <t>محمود الليثي</t>
  </si>
  <si>
    <t>مصنع دار توبال للألمنيوم
واللوحات الدعائية</t>
  </si>
  <si>
    <t>SA92800005810608010014550</t>
  </si>
  <si>
    <t>مؤسسة شبكة الفلك</t>
  </si>
  <si>
    <t>Alfalak Network</t>
  </si>
  <si>
    <t>Alfalak</t>
  </si>
  <si>
    <t xml:space="preserve"> المركز الرئيسي بيشه -
 فرع رقم 1 الرياض</t>
  </si>
  <si>
    <t>112329696 - Ext 110</t>
  </si>
  <si>
    <t>مقرن ظافر
عبدالمانع القحطاني</t>
  </si>
  <si>
    <t>0500989290
0500989279
0556362400</t>
  </si>
  <si>
    <t>Alfalaknetwork@gmail.com</t>
  </si>
  <si>
    <t>حسام الدين بلال</t>
  </si>
  <si>
    <t>SA3110000023565122000104</t>
  </si>
  <si>
    <t>البنك الأهلي</t>
  </si>
  <si>
    <t>مؤسسة شبكة الفلك للاتصالات وتقنية المعلومات</t>
  </si>
  <si>
    <t>الشركة الدولية للخرسانة الجاهزة</t>
  </si>
  <si>
    <t>International Ready Mix CO.</t>
  </si>
  <si>
    <t>الرياض - حي النظيم</t>
  </si>
  <si>
    <t>ــــــ</t>
  </si>
  <si>
    <t>م.هشام مصطفى خليفه</t>
  </si>
  <si>
    <t>sfs_ro@yahoo.com</t>
  </si>
  <si>
    <t>محمود شكري</t>
  </si>
  <si>
    <t>saad2342015@gmail.com</t>
  </si>
  <si>
    <t>sa7610000025762796000100</t>
  </si>
  <si>
    <t>شركة مصدر لمواد البناء</t>
  </si>
  <si>
    <t>masdar building materials</t>
  </si>
  <si>
    <t>المدينة المنورة-
عثمان بن عفان-
طريق العيون</t>
  </si>
  <si>
    <t>ناصر مبارك جازع</t>
  </si>
  <si>
    <t>nasser.jazi@mbm.com.sa</t>
  </si>
  <si>
    <t>11015200040102الأهلي</t>
  </si>
  <si>
    <t>البنك الاهلي/جده
فرع المحجر</t>
  </si>
  <si>
    <t>ش مصدر لمواد البناء</t>
  </si>
  <si>
    <t>مؤسسة البعد الثنائي لتقنية الملعومات</t>
  </si>
  <si>
    <t>Bilateeral Dimension Est</t>
  </si>
  <si>
    <t>جميلة عبدالرحمن فرج محمد</t>
  </si>
  <si>
    <t>حمزه فتحي محمد جرار</t>
  </si>
  <si>
    <t>مؤسسة فواز غازي العتيبي للمقاولات</t>
  </si>
  <si>
    <t>الرياض حي النسيم</t>
  </si>
  <si>
    <t>فواز غازي مصيبيح العتيبي</t>
  </si>
  <si>
    <t>ازاد حسين</t>
  </si>
  <si>
    <t>sa4780000132608010357037</t>
  </si>
  <si>
    <t>مصرف الراجحي</t>
  </si>
  <si>
    <t>مؤسسة أسامة عبدالرحمن أبابطين للتجارة</t>
  </si>
  <si>
    <t>البابطين</t>
  </si>
  <si>
    <t>بسام أبو شاكر</t>
  </si>
  <si>
    <t>كاش</t>
  </si>
  <si>
    <t>مؤسسة اكتن للمقاولات</t>
  </si>
  <si>
    <t>الرياض - حي السليمانية -
شارع الأمير مشاري بن 
عبدالعزيز</t>
  </si>
  <si>
    <t>واصل 867020</t>
  </si>
  <si>
    <t>فهد محمد صالح الجعويني</t>
  </si>
  <si>
    <t>جمال صلاح</t>
  </si>
  <si>
    <t>شيك أو نقداً</t>
  </si>
  <si>
    <t>الرياض - حي المصيف 
- شارع الغاط</t>
  </si>
  <si>
    <t xml:space="preserve">شركة المواد العمرانية للتجارة 
والصناعة والمقاولات </t>
  </si>
  <si>
    <t>شركة المواد العمرانية 
للتجارة والصناعة</t>
  </si>
  <si>
    <t>الصناعية الثانية - مجمع
الزامل التجاري</t>
  </si>
  <si>
    <t>البنك الأهلي -
 فرع الملز</t>
  </si>
  <si>
    <t>شركة الزامل للصناعة 
والتجارة والنقل</t>
  </si>
  <si>
    <t>MBM</t>
  </si>
  <si>
    <t>ص.ب 206320
الرياض 11451</t>
  </si>
  <si>
    <t>وليد المطيري</t>
  </si>
  <si>
    <t>سعيد عبدالكريم</t>
  </si>
  <si>
    <t>sa7910000011015200040102</t>
  </si>
  <si>
    <t>البنك الأهلي التجاري -
فرع المحجر 110</t>
  </si>
  <si>
    <t>Acten</t>
  </si>
  <si>
    <t>Acten construction co.</t>
  </si>
  <si>
    <t>مؤسسة راقع علي راقع الحسنية</t>
  </si>
  <si>
    <t>ALHASNIA Building Materials</t>
  </si>
  <si>
    <t>راقع علي الحسنية</t>
  </si>
  <si>
    <t>محمد عبدالفتاح محمد مكاوي</t>
  </si>
  <si>
    <t>شيك أو كاش بسند قبض</t>
  </si>
  <si>
    <t>مجموعة العطيشان للسلامة</t>
  </si>
  <si>
    <t>ALOTAISHAN GROUP
 FOR SAFETY</t>
  </si>
  <si>
    <t>العطيشان للسلامة</t>
  </si>
  <si>
    <t>الملز - شارع فاطمة الزهراء</t>
  </si>
  <si>
    <t>محمد عبدالعزيز
العطيشان</t>
  </si>
  <si>
    <t>نور الدين مسعود</t>
  </si>
  <si>
    <t>sa928000014960801006002</t>
  </si>
  <si>
    <t>بنك الراجحي - 
فرع الصناعية القديمة</t>
  </si>
  <si>
    <t>عبدالعزيز محمد عبدالله
العطيشان</t>
  </si>
  <si>
    <t>مؤسسة بيت الكهرباء</t>
  </si>
  <si>
    <t>Electric House EST.</t>
  </si>
  <si>
    <t>EHE</t>
  </si>
  <si>
    <t>الملز-
شارع الأمير عبدالمحسن</t>
  </si>
  <si>
    <t>الرياض11415
18336</t>
  </si>
  <si>
    <t>عبدالله داغستاني</t>
  </si>
  <si>
    <t>abdullah.daghistani@elctric-house.com</t>
  </si>
  <si>
    <t>أحمد المخللاتي</t>
  </si>
  <si>
    <t>ahmed.mkhallati@elctric-house.com</t>
  </si>
  <si>
    <t>ورشة نورة محسن نقاء الردادي للحدادة</t>
  </si>
  <si>
    <t>المدينة المنورة-الجرف
-العيون-عثمان بن عفان</t>
  </si>
  <si>
    <t>نورة محسن نقاء الردادي</t>
  </si>
  <si>
    <t>محمد سليم عبدالغفور</t>
  </si>
  <si>
    <t>الرياض- 
شرق المنطقة الصناعية-
شارع الأمير سلمان</t>
  </si>
  <si>
    <t>مؤسسة أدنى الشرق</t>
  </si>
  <si>
    <t>ADNA ALSHARG
 CONTRACTING EST.</t>
  </si>
  <si>
    <t>الرياض-الملز</t>
  </si>
  <si>
    <t>0114774543
0114765545</t>
  </si>
  <si>
    <t>م.أسامة محمد السعدي</t>
  </si>
  <si>
    <t>راضي خلف أمين فرج</t>
  </si>
  <si>
    <t>ALMISBAH HOUSE FOR
 STEEL WORKS CO</t>
  </si>
  <si>
    <t>تصنيع كيبل تراي - 
تصنيع دربزينات معدنية
+ لوحات توزيع كهرباء
+ حوامل معدنية للكابلات</t>
  </si>
  <si>
    <t>توريد وحدات إنارة</t>
  </si>
  <si>
    <t xml:space="preserve"> توريد أفياش ومفاتيح كهرباء</t>
  </si>
  <si>
    <t>توريد حديد تسليح - تجارة التجزئة والجملة
 بمواد البناء</t>
  </si>
  <si>
    <t>توريد عزل مائي وحراري - 
خزنات - الخ</t>
  </si>
  <si>
    <t>توريد سقالات - إ يجار- شراء الشدات المعدنية السقالات</t>
  </si>
  <si>
    <t>توريد حديد تسليح - تجارة التجزئة والجملة 
بمواد البناء</t>
  </si>
  <si>
    <t>أعمال مصنعيات حداد ونجارة - 
مقاولات عامة</t>
  </si>
  <si>
    <t>توريد خرسانة جاهزة -
إنتاج وبيع الخرسانة الجاهزة</t>
  </si>
  <si>
    <t>توريد وتركيب فرمة حديد للخرسانات
-الحدادة/ورشة حدادة</t>
  </si>
  <si>
    <t>توريد وتركيب مكائن التكييف ودكتات - صيانة تكييف
معدات كهربائية</t>
  </si>
  <si>
    <t>توريد مواد كهرباء-
مؤسسة مواد بناء (سباكة 
+ كهرباء)</t>
  </si>
  <si>
    <t>توريد وتركيب وتمديد مجاري التكييف ودكتات - أعمال الدكت والتكييف</t>
  </si>
  <si>
    <t>توريد مواد صحية (سباكة) - مؤسسة مواد بناء (سباكة 
+ كهرباء)</t>
  </si>
  <si>
    <t>توريد مواسير سباكة -تصنيع خزانات مياه/
عزل/ أنابيب حرارية
/تحلية مياه</t>
  </si>
  <si>
    <t>توريد نظام إنذار الحريق -  بيع أجهزة
ومعدات السلامة</t>
  </si>
  <si>
    <t>تركيب أبراج اتصال 
- مقاولات عامة</t>
  </si>
  <si>
    <t>تشغيل شبكات -استيراد/تسويق/تركيب 
أجهزة الاتصالات</t>
  </si>
  <si>
    <t>تركيب أرضيات وجدران بلاط 
وسيراميك ورخام جرانيت - 
مقاولات عامة</t>
  </si>
  <si>
    <t>توريد بلاط - مواد البناء</t>
  </si>
  <si>
    <t>توريد حجر طبيعي
ورخام جرانيت -
تجارة ومقاولات</t>
  </si>
  <si>
    <t>توريد بورسلان - تجارة الجملة والتجزئة
في السيراميك ومواد البناء</t>
  </si>
  <si>
    <t>توريد وتركيب أبواب ألمنيوم وواجهات الكلادنج الزجاجية والأبواب المتحركة - أبواب حديدية مضلات حديدية
نوافذ المنيوم لوحات</t>
  </si>
  <si>
    <t>أعمال دهانات حوائط - 
مقاولات عامة</t>
  </si>
  <si>
    <t>تركيب حجر -
 مقاولات عامة</t>
  </si>
  <si>
    <t>توريد رمل واسمنت وبلوك -
مواد البناء</t>
  </si>
  <si>
    <t>مصنعيات لياسة وخرسانة-
مقاولات عامة</t>
  </si>
  <si>
    <t>توريد مواسير استانليس -استيراد استانليس استيل</t>
  </si>
  <si>
    <t>توريد وتركيب نظام السنترال وأجهزة المراقبة - اتصالات وتقنية معلومات/ أنظمة أمنية/ أمن وسلامة</t>
  </si>
  <si>
    <t>توريد نظام الصوتيات - أعمال كهربية وميكانيكية
وإنشاءات وصيانة</t>
  </si>
  <si>
    <t>البنك الأهلي التجاري-
فرع عمر المختار</t>
  </si>
  <si>
    <t>fawaz ghazi otibi contracting</t>
  </si>
  <si>
    <t>جدة</t>
  </si>
  <si>
    <t>hamzajarraar84@gmail.com</t>
  </si>
  <si>
    <t>مصنع درر الأبراج لتشكيل حديد التسليح</t>
  </si>
  <si>
    <t>dorar alabraj com</t>
  </si>
  <si>
    <t>تشكيل حديد تسليح</t>
  </si>
  <si>
    <t>الرياض- حي السلي</t>
  </si>
  <si>
    <t>محمد طه سعيد الحوراني</t>
  </si>
  <si>
    <t>dorar.alabraj@gmail.com</t>
  </si>
  <si>
    <t>sa9680000392608010183396</t>
  </si>
  <si>
    <t>شركة الدهانات السعودية (بينتكو)</t>
  </si>
  <si>
    <t>saudi paint company LTD</t>
  </si>
  <si>
    <t>paintco</t>
  </si>
  <si>
    <t>إنتاج الدهانات بأنواعها</t>
  </si>
  <si>
    <t>الرياض - المدينة الصناعية</t>
  </si>
  <si>
    <t>محمد عبدالله الخفره</t>
  </si>
  <si>
    <t>جونسون</t>
  </si>
  <si>
    <t>johnson@paintco.net</t>
  </si>
  <si>
    <t>sa5620000002010525049901</t>
  </si>
  <si>
    <t>بنك الرياض</t>
  </si>
  <si>
    <t>شركة الدهانات السعودية بينتكو</t>
  </si>
  <si>
    <t>مؤسسة تكنولوجيا التحكم</t>
  </si>
  <si>
    <t>control technology EST.</t>
  </si>
  <si>
    <t>CT</t>
  </si>
  <si>
    <t xml:space="preserve">توريد مفاتيح كهربائية </t>
  </si>
  <si>
    <t>الرياض - شارع الغرابي</t>
  </si>
  <si>
    <t xml:space="preserve">الرياض وحدة رقم 1
حي العمل - اسد بن فرات
2909 </t>
  </si>
  <si>
    <t>م/عبدالناصر زكي سعيد</t>
  </si>
  <si>
    <t>محمد عبدالناصر زكي</t>
  </si>
  <si>
    <t>abdelnasser_zaki@yahoo.com</t>
  </si>
  <si>
    <t>sa752000000/2420245189940</t>
  </si>
  <si>
    <t>بنك الرياض - فرع المحمدية</t>
  </si>
  <si>
    <t>مؤسسة تكنولوجيا التحكم للتجارة</t>
  </si>
  <si>
    <t>مؤسسة عالي الهمة</t>
  </si>
  <si>
    <t>توريد وتنفيذ عزل - مقاولات 
وأعمال العزل والإيبوكس</t>
  </si>
  <si>
    <t>مكة المكرمة-الشارع العام
أمام مسجد ابن القيم</t>
  </si>
  <si>
    <t>عبد ربه مفلح مزيد مزيد
العبيدي السلمي</t>
  </si>
  <si>
    <t>ربيع جمعة عبدالعظيم</t>
  </si>
  <si>
    <t>sa9780000332608010741121</t>
  </si>
  <si>
    <t>ربيع جمعه عبدالعظيم (مفوض)</t>
  </si>
  <si>
    <t>شركة مناخ شبه الجزيره 
للتجارة والمقاولات</t>
  </si>
  <si>
    <t>manakh Shebah ALJazeerah
 Trading &amp; contacting Co.</t>
  </si>
  <si>
    <t>شركة مناخ شبه الجزيرة 
للتجارة والمقاولات</t>
  </si>
  <si>
    <t>توريد وتركيب نظام دخول - 
تجارة الجملة والتجزئة في الأجهزة
الإلكترونية وتركيبها وصيانتها</t>
  </si>
  <si>
    <t>الرياض- العليا-شارع مكة
المكرمة</t>
  </si>
  <si>
    <t>م.جميل المانع</t>
  </si>
  <si>
    <t>msj@msj.com.sa</t>
  </si>
  <si>
    <t>بنكاج ديفيدي</t>
  </si>
  <si>
    <t>pankaj@msj.com.sa</t>
  </si>
  <si>
    <t>sa7110000022881165000100</t>
  </si>
  <si>
    <t>البنك الأهلي التجاري-فرع العليا</t>
  </si>
  <si>
    <t>manakh Shebah ALJazeerah Co.</t>
  </si>
  <si>
    <t>مؤسسة العين الجديدة للإنارة/إن في سي للانارة</t>
  </si>
  <si>
    <t>Alein ALJadidah Est / NVC Lighting</t>
  </si>
  <si>
    <t>NVC</t>
  </si>
  <si>
    <t>توريد إنارة سقفية</t>
  </si>
  <si>
    <t xml:space="preserve">الرياض -شارع الأمير 
عبدالمحسن- حي الملز </t>
  </si>
  <si>
    <t>Bryan zhong</t>
  </si>
  <si>
    <t>bryan@nvcksa.com</t>
  </si>
  <si>
    <t>yaqoub yoysuf ALBrahim</t>
  </si>
  <si>
    <t>riyadh@nvcksa.com</t>
  </si>
  <si>
    <t>sa2080000210608010542773</t>
  </si>
  <si>
    <t>مصرف الراجحي
ALHasa mubarraz Br.</t>
  </si>
  <si>
    <t>Alein AL Jadidah</t>
  </si>
  <si>
    <t>مؤسسة وصل المعلومات للحاسب الآلي</t>
  </si>
  <si>
    <t>connect computer information EST</t>
  </si>
  <si>
    <t>connect</t>
  </si>
  <si>
    <t>توريد سويتشات وكابينات
داتا - Establi sbmed</t>
  </si>
  <si>
    <t>الرياض - شارع العليا</t>
  </si>
  <si>
    <t>anas p. muhammed</t>
  </si>
  <si>
    <t>anas@connect.com.sa</t>
  </si>
  <si>
    <t>shabeer p. muhammed</t>
  </si>
  <si>
    <t>shabeer@connect.com.sa</t>
  </si>
  <si>
    <t>sa9120000003200088009940</t>
  </si>
  <si>
    <t>riyadh bank - jubail</t>
  </si>
  <si>
    <t>شركة القريطية للتجارة</t>
  </si>
  <si>
    <t>توريد كابلات كهرباء - 
بيع الأدوات الكهربائية</t>
  </si>
  <si>
    <t>الرياض - سوق الغرابي</t>
  </si>
  <si>
    <t>0114028357
0114027821</t>
  </si>
  <si>
    <t>عبدالرحمن إبراهيم الوادي</t>
  </si>
  <si>
    <t>donada@hotmail.com</t>
  </si>
  <si>
    <t>نقداً</t>
  </si>
  <si>
    <t>شركة تجار مواد البناء العالمية</t>
  </si>
  <si>
    <t>توريد صفايات نوازل مطرية 
واكسسواراتها- توريدات مواد
بناء</t>
  </si>
  <si>
    <t>الرياض-مخرج17-يلدا مول 
الدور الأول</t>
  </si>
  <si>
    <t>محمد هادي عبدالله الحسيني</t>
  </si>
  <si>
    <t>مهند سيف الأشرم</t>
  </si>
  <si>
    <t>كاش أو شيك</t>
  </si>
  <si>
    <t>مؤسسة أحمد خليوي الهمزاني للمقاولات</t>
  </si>
  <si>
    <t>مقاولات عامة</t>
  </si>
  <si>
    <t>الرياض-حي النسيم</t>
  </si>
  <si>
    <t>أحمد خليوي نهار الهمزاني</t>
  </si>
  <si>
    <t>محمد فاروق</t>
  </si>
  <si>
    <t>sa9240000000001001816978</t>
  </si>
  <si>
    <t>سامبا</t>
  </si>
  <si>
    <t>أحمد خليوي الشمري</t>
  </si>
  <si>
    <t>مكتبة العارض</t>
  </si>
  <si>
    <t>AL Ared</t>
  </si>
  <si>
    <t>مطبعة</t>
  </si>
  <si>
    <t>الرياض-حي بدر</t>
  </si>
  <si>
    <t>خالد أبا الخيل</t>
  </si>
  <si>
    <t>ريحان</t>
  </si>
  <si>
    <t>sa1550000000041054830009</t>
  </si>
  <si>
    <t>السعودي الهولندي</t>
  </si>
  <si>
    <t>مؤسسة أحمد رمضان العنزي للمقاولات</t>
  </si>
  <si>
    <t>تجميع وتركيب أبراج/
مقاولات عامة</t>
  </si>
  <si>
    <t>الرياض-حي النظيم</t>
  </si>
  <si>
    <t>أحمد العنزي</t>
  </si>
  <si>
    <t>اسرار الدين خان</t>
  </si>
  <si>
    <t>sa0580000101608012051023</t>
  </si>
  <si>
    <t>أسرار الدين سادات خان</t>
  </si>
  <si>
    <t>شركة معارض الخريجي</t>
  </si>
  <si>
    <t>Khereiji shewroom CO.LTD</t>
  </si>
  <si>
    <t>KSC</t>
  </si>
  <si>
    <t>توريد مستلزمات نظام التأريض/
تجاريون مصنعيون وموردون
مواد كهربائية</t>
  </si>
  <si>
    <t xml:space="preserve">الرياض </t>
  </si>
  <si>
    <t>alaa@ksc.com.sa</t>
  </si>
  <si>
    <t>علاء حسام الدين عقل</t>
  </si>
  <si>
    <t>نطمي السيد</t>
  </si>
  <si>
    <t>sa2840000000000004427076</t>
  </si>
  <si>
    <t xml:space="preserve">مجموعة مجداف للتجارة </t>
  </si>
  <si>
    <t>mejdaf trading group</t>
  </si>
  <si>
    <t>mejdaf</t>
  </si>
  <si>
    <t>توريد بطاريات/إتصالات 
إلكترونيات/عدة قياس / اختبار
شبكات وكابلات</t>
  </si>
  <si>
    <t>الرياض - حي الملقا- شارع أنس بن مالك</t>
  </si>
  <si>
    <t>تامر جلال / محمد جلال</t>
  </si>
  <si>
    <t>0503607609
0562276707</t>
  </si>
  <si>
    <t>t.galal@mejdaf.com
gaber@mejdaf.com</t>
  </si>
  <si>
    <t>إسلام يوسف</t>
  </si>
  <si>
    <t>Eslam@mejdaf.com</t>
  </si>
  <si>
    <t>sa9110000062515317000105</t>
  </si>
  <si>
    <t>شركة نواة التعمير</t>
  </si>
  <si>
    <t>NCE</t>
  </si>
  <si>
    <t>دهانات ايبوكسية واكريليكية/
مقاولات</t>
  </si>
  <si>
    <t>الرياض- تقاطع الملك عبدالعزيز
مع العروبة</t>
  </si>
  <si>
    <t>بشار الجهيمي</t>
  </si>
  <si>
    <t>basuny310@yahoo.com</t>
  </si>
  <si>
    <t>sa2810000023856598000110</t>
  </si>
  <si>
    <t>البنك الاهلي التجاري</t>
  </si>
  <si>
    <t>محمد عبدالحميد أحمد</t>
  </si>
  <si>
    <t>مؤسسة حسين مهدي القحطاني للمقاولات</t>
  </si>
  <si>
    <t>أعمال حفر/مقاولات عامة</t>
  </si>
  <si>
    <t>الامواه</t>
  </si>
  <si>
    <t>حسين مهدي القحطاني</t>
  </si>
  <si>
    <t>مؤسسة بعد النخبة</t>
  </si>
  <si>
    <t>Elite Dimensions Establishment</t>
  </si>
  <si>
    <t>ED</t>
  </si>
  <si>
    <t>أعمال نظافة - تصديلا وتعهدات
تجارية والتسويق نيابة عن الغير</t>
  </si>
  <si>
    <t>الرياض-حي المغرزات
شارع الامير مقرن بن
عبدالعزيز</t>
  </si>
  <si>
    <t>مي بنت عبدالرحمن الجميعه</t>
  </si>
  <si>
    <t>info@elite-d.com</t>
  </si>
  <si>
    <t>معن العثيمين</t>
  </si>
  <si>
    <t>malothimeen@elite-d.com</t>
  </si>
  <si>
    <t>الأهلي 22657447000102</t>
  </si>
  <si>
    <t>البنك الاهلي التجاري-حي الصحافة</t>
  </si>
  <si>
    <t>مؤسسة بعد النخبة للخدمات التجارية</t>
  </si>
  <si>
    <t>مؤسسة الرؤى الحديثة للتجارة</t>
  </si>
  <si>
    <t>modernvision est</t>
  </si>
  <si>
    <t>توريد تقاويم وساعات مكتبية-
مجال الهدايا الدعائية والاعلانية</t>
  </si>
  <si>
    <t>الرياض-حي الملز-المتنبي</t>
  </si>
  <si>
    <t>أحمد عبدالعزيز الخلف</t>
  </si>
  <si>
    <t>ceo@modernvision.com.sa</t>
  </si>
  <si>
    <t>أحمد محمد أحمد حمزة</t>
  </si>
  <si>
    <t>ahmed.hamza@modrenvision.com.sa</t>
  </si>
  <si>
    <t>sa1630400108095107960013</t>
  </si>
  <si>
    <t>شركة تقنيات الدهان للتجارة</t>
  </si>
  <si>
    <t>paint techniques co.</t>
  </si>
  <si>
    <t>ptc</t>
  </si>
  <si>
    <t>تجارة عامة وتوريد دهانات جوتن</t>
  </si>
  <si>
    <t>الرياض-مخرج17-طريق
المدينة المنورة</t>
  </si>
  <si>
    <t>ص.ب40562
الرياض11511</t>
  </si>
  <si>
    <t>أحمد عبدالله زيتون</t>
  </si>
  <si>
    <t>zitounahmad@gmail.com</t>
  </si>
  <si>
    <t>sa8980000450608010300320</t>
  </si>
  <si>
    <t>تقنيات الدهان</t>
  </si>
  <si>
    <t>شركة مصنع فهد سليمان التويجري
للأسطح الرخامية</t>
  </si>
  <si>
    <t>توريد وتركيب رخام-رخام صناعي
روزايت-مغاسل كاونترات أسطح</t>
  </si>
  <si>
    <t>الرياض-شارع الأحساء</t>
  </si>
  <si>
    <t>ص.ب89507
الرياض11692</t>
  </si>
  <si>
    <t>نوفل الهادي</t>
  </si>
  <si>
    <t>شيك نقدي</t>
  </si>
  <si>
    <t>توريد وتركيب بلدورة انترلوك وبلاط
اسمنتي - مقاولات عامة وصيانة</t>
  </si>
  <si>
    <t>المزاحمية-شارع الملك
عبدالعزيز</t>
  </si>
  <si>
    <t>سعد علي مسفر القحطاني</t>
  </si>
  <si>
    <t>gahtani.company@gmail.com</t>
  </si>
  <si>
    <t>حمود القحطاني</t>
  </si>
  <si>
    <t>sa0380000219608010132998</t>
  </si>
  <si>
    <t>شركة سعد علي القحطاني وشريكه</t>
  </si>
  <si>
    <t>مؤسسة قطائف العنقود للمقاولات</t>
  </si>
  <si>
    <t>صب بيز - صيانة وإصلاح الطرق
ومقاولات عامة</t>
  </si>
  <si>
    <t>الرياض-الدخل المحدود
شارع عبدالله بن الزبير</t>
  </si>
  <si>
    <t>سويره بنت ضيف الله بن خالد الشيباني</t>
  </si>
  <si>
    <t>صالح عواض العنيبي</t>
  </si>
  <si>
    <t>sa6310000078949999000104</t>
  </si>
  <si>
    <t>صالح بن عواض العتيبي</t>
  </si>
  <si>
    <t>OSAS Technology</t>
  </si>
  <si>
    <t>شركة أبناء عمر سعيد العمودي
 لخدمات التكنولوجيا المحدودة</t>
  </si>
  <si>
    <t>توريد أسلاك داتا/
توريد وتركيب
أنظمة التيار الخفيف</t>
  </si>
  <si>
    <t>جدة-طريق المدينة المنورة-مبنى7575</t>
  </si>
  <si>
    <t>أحمد عبده</t>
  </si>
  <si>
    <t>sales1@osasksa.com</t>
  </si>
  <si>
    <t>عمرو مليحي السيد</t>
  </si>
  <si>
    <t>a.melegy@osasksa.com</t>
  </si>
  <si>
    <t>sa5005000068201125484000</t>
  </si>
  <si>
    <t>مصرف الانماء</t>
  </si>
  <si>
    <t>أبناء عمر سعيد العمودي لخدمات التكنولوجيا المحدودة</t>
  </si>
  <si>
    <t>مؤسسة حصن التميز للمقاولات</t>
  </si>
  <si>
    <t>شرورة-حي الفيصلية</t>
  </si>
  <si>
    <t>علي عبدالله علي</t>
  </si>
  <si>
    <t>عبدالغني</t>
  </si>
  <si>
    <t>الأهلي 43854061000109</t>
  </si>
  <si>
    <t>ماجد عماد باكير</t>
  </si>
  <si>
    <t>majed Imad Baker</t>
  </si>
  <si>
    <t>دعاية وإعلان / بروشورات</t>
  </si>
  <si>
    <t>الرياض-حي النزهة</t>
  </si>
  <si>
    <t>رائد عبداللطيف الغامدي</t>
  </si>
  <si>
    <t>ماجد باكير</t>
  </si>
  <si>
    <t>sa9280000497608012016465</t>
  </si>
  <si>
    <t>مؤسسة هيثم مصطفى قاضي التجارية</t>
  </si>
  <si>
    <t>Haithnam M. Qadi Trading EST.</t>
  </si>
  <si>
    <t>HQ</t>
  </si>
  <si>
    <t>أجهزة القياس والتحكم</t>
  </si>
  <si>
    <t>الرياض طريق الامام سعود بن فيصل</t>
  </si>
  <si>
    <t>114875686
تحويله 108</t>
  </si>
  <si>
    <t>الرياض 4614
13321-6896</t>
  </si>
  <si>
    <t>هيثم قاضي</t>
  </si>
  <si>
    <t>haitham_qadi@hq_electro.com</t>
  </si>
  <si>
    <t>سامي الصالح</t>
  </si>
  <si>
    <t>sales6@hq_electro.com</t>
  </si>
  <si>
    <t>sa7515000443118292230005</t>
  </si>
  <si>
    <t>بنك البلاد - حي الصحافة</t>
  </si>
  <si>
    <t>شركة أنظمة الوسائل الحديثة</t>
  </si>
  <si>
    <t>modern media systems</t>
  </si>
  <si>
    <t>mms</t>
  </si>
  <si>
    <t>electrical  trading
co.</t>
  </si>
  <si>
    <t>الرياض-الدائري الشرقي-البوابة الاقتصادية
مبنى رقم 8</t>
  </si>
  <si>
    <t>ENG.ROSHAN
 THOMASS</t>
  </si>
  <si>
    <t>rthomas@alfasaliah.com</t>
  </si>
  <si>
    <t>ENG.mohamed 
abdulrahim</t>
  </si>
  <si>
    <t>mabdulrahim@alfaisaliah.com</t>
  </si>
  <si>
    <t>sa8040000000000001335235</t>
  </si>
  <si>
    <t>شركة العبدالكريم القابضة</t>
  </si>
  <si>
    <t>AL ABDULKARIM HOLDING CO.</t>
  </si>
  <si>
    <t>AKH</t>
  </si>
  <si>
    <t>توريد سماعات 
وكاميرات مراقبة/ توريد 
مواد أنظمة كهربائية</t>
  </si>
  <si>
    <t>الرياض-حي الملز-شلرع الستين
مبنى الأمم التجاري</t>
  </si>
  <si>
    <t>خالد شعات</t>
  </si>
  <si>
    <t>khalidms@akh-sa.com</t>
  </si>
  <si>
    <t>باسل محمود</t>
  </si>
  <si>
    <t>bassel@akh-sa.com</t>
  </si>
  <si>
    <t>sa46450000000441590690010</t>
  </si>
  <si>
    <t>ساب</t>
  </si>
  <si>
    <t>مؤسسة بذول للمقاولات</t>
  </si>
  <si>
    <t>أعمال مصنعيات/مقاولات عامة</t>
  </si>
  <si>
    <t>عبدالوهاب الحمد</t>
  </si>
  <si>
    <t>محمد خالد الشامي</t>
  </si>
  <si>
    <t>sa44200000023911089494940</t>
  </si>
  <si>
    <t>بذول للمقاولات</t>
  </si>
  <si>
    <t xml:space="preserve">شركة آل طاوي للأجزاء الخرسانية
والمنتجات الأسمنتية </t>
  </si>
  <si>
    <t>AL TAWI FOR READY MIX CONCRETE 
&amp; CEMENT</t>
  </si>
  <si>
    <t>توريد خراسنة / انتاج خرسانة
جاهزة وبلوك</t>
  </si>
  <si>
    <t>الرياض-المشاعل- السلي
جنوب الحرس الوطني</t>
  </si>
  <si>
    <t>tamer el nadarwy</t>
  </si>
  <si>
    <t>tamer.elnabarwy@gmail.com</t>
  </si>
  <si>
    <t>محمد السباعي هندي</t>
  </si>
  <si>
    <t>sa1920000002040824449941</t>
  </si>
  <si>
    <t>شركة آل طاوي</t>
  </si>
  <si>
    <t>شركة ركن المقاييس للمقاولات</t>
  </si>
  <si>
    <t>rukn almakayes contracting co.</t>
  </si>
  <si>
    <t>R.M.C</t>
  </si>
  <si>
    <t>توريد وتركيب مظلات/
مقاولات عامة للمباني</t>
  </si>
  <si>
    <t>مخرج18-شارع اسطنبول</t>
  </si>
  <si>
    <t>4349-احمد حسن-السلي</t>
  </si>
  <si>
    <t>ثلمر عبد ربه الراوي</t>
  </si>
  <si>
    <t>صالح سالم المطوع</t>
  </si>
  <si>
    <t>sa6010000026472006000100</t>
  </si>
  <si>
    <t>محمد سعيد عبدالله الشهراني</t>
  </si>
  <si>
    <t>شركة المحيطات الحديثة للأدوات الكهربائية</t>
  </si>
  <si>
    <t>modern oceans co.</t>
  </si>
  <si>
    <t>المحيطات الحديثة</t>
  </si>
  <si>
    <t>توريد كابلات كهرباء - 
تجارة الجملة والتجزئة في
المواد الكهربائية</t>
  </si>
  <si>
    <t>الرياض-البطحاء-الغرابي</t>
  </si>
  <si>
    <t>0114010550
تحويلة 105</t>
  </si>
  <si>
    <t>خالد محمد الصالح</t>
  </si>
  <si>
    <t>محمد بلتاجي</t>
  </si>
  <si>
    <t>mo.beltagy@yahoo.com</t>
  </si>
  <si>
    <t>sa1310000062211504000103</t>
  </si>
  <si>
    <t>شركة مصنع المحيطات الحديثة
للأدوات الكهربائية</t>
  </si>
  <si>
    <t>مؤسسة حسين بن غازي بن إبراهيم شاكر التجارية</t>
  </si>
  <si>
    <t>hussein ghazi ibrahim shaker
 for trading est.</t>
  </si>
  <si>
    <t>hussein G.I.shaker
 for trading EST.</t>
  </si>
  <si>
    <t>توريد مراوح تهوية/
استيراد وتجارة مراوح الشفط</t>
  </si>
  <si>
    <t>الدائري الشمالي-حي المروج-مخرج5</t>
  </si>
  <si>
    <t>ص.ب15
الرياض 11411</t>
  </si>
  <si>
    <t>أحمد حسين نقاع</t>
  </si>
  <si>
    <t>ahmed_hussein@hshaker.com.sa</t>
  </si>
  <si>
    <t>0595359307
0592234111</t>
  </si>
  <si>
    <t>رشدي خير الله</t>
  </si>
  <si>
    <t>roshdi_khirallah@hshaker.com.sa</t>
  </si>
  <si>
    <t>sa8530400108095052370011</t>
  </si>
  <si>
    <t>مؤسسة مدى الشروق للمقاولات</t>
  </si>
  <si>
    <t>mada AL-Shroq</t>
  </si>
  <si>
    <t>توريد إنارة كهربائية وديكور
شاشات/مقاولات عامة
للمباني والصيانة والنظافة والتركيب</t>
  </si>
  <si>
    <t>الرياض-حي السلام-شارع سعد بن عباده</t>
  </si>
  <si>
    <t>فرحان محمد فرحان
آل فاضل الأسمري</t>
  </si>
  <si>
    <t>علي نصر</t>
  </si>
  <si>
    <t>مؤسسة شلالات الخير للمقاولات</t>
  </si>
  <si>
    <t>SHK</t>
  </si>
  <si>
    <t>توريد وتنفيذ اسفلت / 
مقاولاات عامة وأعمال اسفلت</t>
  </si>
  <si>
    <t>الرياض-حي النسيم-شارع الأمير سعد 
بن عبدالرحمن الأول</t>
  </si>
  <si>
    <t>أحمد رحيل مطلق
المهيد العنزي</t>
  </si>
  <si>
    <t>علي إبراهيم الجاسم</t>
  </si>
  <si>
    <t>sa8880000429608010066648</t>
  </si>
  <si>
    <t>مؤسسة رياض البحرين</t>
  </si>
  <si>
    <t>توريد زجاج وأبواب ثابتة
ومتحركة/مقاولات عامة</t>
  </si>
  <si>
    <t>Riyadh Bahrain Foundation
constaction</t>
  </si>
  <si>
    <t>الرياض-الصناعية القديمة
شارع الأمير سلمان بن عبدالعزيز</t>
  </si>
  <si>
    <t>أكرم عارف</t>
  </si>
  <si>
    <t>سند قبض</t>
  </si>
  <si>
    <t>مؤسسة درة رياش للتجارة</t>
  </si>
  <si>
    <t>Durra Riyash EST For Trading</t>
  </si>
  <si>
    <t>DRF</t>
  </si>
  <si>
    <t>توريد موكيت/مقاولات</t>
  </si>
  <si>
    <t>نجران-العريسة-
طريق الملك عبدالعزيز</t>
  </si>
  <si>
    <t>durrahriyash@hotmail.com</t>
  </si>
  <si>
    <t>أحمد موسى</t>
  </si>
  <si>
    <t>مؤسسة السكن النموذجي</t>
  </si>
  <si>
    <t>توريد جبس بورد واسمنت/
مقاولات عامة</t>
  </si>
  <si>
    <t>الرياض</t>
  </si>
  <si>
    <t>حصة عامر العتيبي</t>
  </si>
  <si>
    <t>محمد ساجد</t>
  </si>
  <si>
    <t>سند قبض-كاش-شيك</t>
  </si>
  <si>
    <t>مؤسسة صيته بنت عبدالله حسين
العتيبي للمقاولات</t>
  </si>
  <si>
    <t>توريد وتنفيذ دهانات/
مقاولات عامة</t>
  </si>
  <si>
    <t>الرياض-حي الصحافة</t>
  </si>
  <si>
    <t>صيته بنت عبدالله العتيبي</t>
  </si>
  <si>
    <t>فضل الحق إسحاق</t>
  </si>
  <si>
    <t>كاش-شيك</t>
  </si>
  <si>
    <t>مؤسسة عفراء راجح العجمي للمقاولات</t>
  </si>
  <si>
    <t>AFRAA RAJEH AL AJMI EST.FOR.CON.</t>
  </si>
  <si>
    <t>AFRA</t>
  </si>
  <si>
    <t>كشط وتوريد اسفلت/
مقاولات الطرق والبنية التحتية
والمباني</t>
  </si>
  <si>
    <t>حي السفارات</t>
  </si>
  <si>
    <t>راجح بن فهيد العجمي</t>
  </si>
  <si>
    <t>must_zedan@yahoo.com</t>
  </si>
  <si>
    <t>م.مصطفى بدوي</t>
  </si>
  <si>
    <t>sa4010000024478978000108</t>
  </si>
  <si>
    <t>مؤسسة عفراء بنت راجح
 العجمي للمقاولات</t>
  </si>
  <si>
    <t>شركة الراجحي للصناعات الحديدية</t>
  </si>
  <si>
    <t>AL RAJHI STEAL</t>
  </si>
  <si>
    <t>الراجحي للحديد</t>
  </si>
  <si>
    <t>توريد حديد / انتاج الحديد
المسلح والتجاري</t>
  </si>
  <si>
    <t>الرياض-حي السلي
شارع هارون الرشيد</t>
  </si>
  <si>
    <t>م.عبدالقادر</t>
  </si>
  <si>
    <t>rabie.dsoyed@rajhisteal.com</t>
  </si>
  <si>
    <t>شركة الراجحي للصناعات 
الحديدية المحدودة</t>
  </si>
  <si>
    <t>الأهلي
62513470000104</t>
  </si>
  <si>
    <t>مؤسسة ألوان الاضاءة العمالية للتجارة</t>
  </si>
  <si>
    <t>ULTRA LIGHT</t>
  </si>
  <si>
    <t>توريد كشافات LED
/استيراد وتصدير وتجارة الجملة لأدوات ومواد الانارة</t>
  </si>
  <si>
    <t>الرياض-حي الملز</t>
  </si>
  <si>
    <t>0114776079
0112917855</t>
  </si>
  <si>
    <t>info@ultra-light.net</t>
  </si>
  <si>
    <t>عصام زينو</t>
  </si>
  <si>
    <t>sales.ultralight@hotmail.com</t>
  </si>
  <si>
    <t>شيك باسم المؤسسة</t>
  </si>
  <si>
    <t>شركة عبدالرحمن محمد ابراهيم
الغامدي وشركاه للأدوات الصحية</t>
  </si>
  <si>
    <t>alghamdi company</t>
  </si>
  <si>
    <t>توريد مواد صحية/تجارة مواد صحية</t>
  </si>
  <si>
    <t>الرياض-شارع التخصصي مع
الأمير سلطان بن عبدالعزيز</t>
  </si>
  <si>
    <t>ابراهيم محمدالعيسى
فيصل محمد العيسى
عبدالرحمن محمد الغامدي</t>
  </si>
  <si>
    <t>مصطفى سيف الدين مارديني</t>
  </si>
  <si>
    <t>ghamdiry@amghamdi.com</t>
  </si>
  <si>
    <t>sa4320000002120061869940</t>
  </si>
  <si>
    <t>شركة الغامدي وشركاه للأدوات الصحية</t>
  </si>
  <si>
    <t>مؤسسة أنفال المستقبل للتجارة</t>
  </si>
  <si>
    <t>anfal almostakbal EST</t>
  </si>
  <si>
    <t>توريد حديد/التجارة والمشغولات المعدنية</t>
  </si>
  <si>
    <t>الرياض-صناعية الشفا</t>
  </si>
  <si>
    <t>2214-أيوب بن إسحاق</t>
  </si>
  <si>
    <t>ياسر محمد فوزي خطاب</t>
  </si>
  <si>
    <t>مهند نبيل توفيق</t>
  </si>
  <si>
    <t>mohaed.anfalalmostakbal@hotmail.com</t>
  </si>
  <si>
    <t>yasser.anfalalmostakbal@hotmail.com</t>
  </si>
  <si>
    <t>sa7080000390608010250700</t>
  </si>
  <si>
    <t>بنك الراجحي - فرع حي بدر</t>
  </si>
  <si>
    <t>عبدالله حامد خليل الشايجي</t>
  </si>
  <si>
    <t>شركة زتن للتجارة والمقاولات</t>
  </si>
  <si>
    <t>zatan co trading to coost</t>
  </si>
  <si>
    <t>zatan co</t>
  </si>
  <si>
    <t xml:space="preserve">توريد وتركيب وتغيل وصيانة
شبكة الغاز/مقاولات عامة </t>
  </si>
  <si>
    <t>الرياض-حي المربع-طريق الملك فهد
شرق الجوازات</t>
  </si>
  <si>
    <t>واصل 3259
الرياض12631</t>
  </si>
  <si>
    <t>محمدعبود باسيف</t>
  </si>
  <si>
    <t>صلاح يحيى الشافعي</t>
  </si>
  <si>
    <t>salah@zatangas.com</t>
  </si>
  <si>
    <t>sa5480000166608010404002</t>
  </si>
  <si>
    <t>مصرف الراجحي
فرع العليا166</t>
  </si>
  <si>
    <t>شركة زتن للتجارة-محمد عبود باسيف</t>
  </si>
  <si>
    <t>مصنع الاتحاد للخرسانة الجاهزة والمنتجات الاسمنتية</t>
  </si>
  <si>
    <t>unimix.ready mix</t>
  </si>
  <si>
    <t>unimix</t>
  </si>
  <si>
    <t>توريد وتركيب خراسانات جاهزة
ومنتجات اسمنتية</t>
  </si>
  <si>
    <t>ملهم - شمال منطقة الرياض</t>
  </si>
  <si>
    <t>سعود عبدالعزيز سعود
العريفي</t>
  </si>
  <si>
    <t>abozar-1@hotmail.com</t>
  </si>
  <si>
    <t>أبو ذر محمد إبراهيم</t>
  </si>
  <si>
    <t>sa6350000000010500933005</t>
  </si>
  <si>
    <t>البنك الأول</t>
  </si>
  <si>
    <t>سعود عبدالعزيز العريفي</t>
  </si>
  <si>
    <t>المها صالح الرويلي للمقاولات</t>
  </si>
  <si>
    <t>أعمال مصنعيات دهانات وبورسلان/مقاولات عامة</t>
  </si>
  <si>
    <t>الرياض- حي الروضة
شارع حاتم الطائي-124</t>
  </si>
  <si>
    <t>المها صالح الرويلي</t>
  </si>
  <si>
    <t>محمد أشرف</t>
  </si>
  <si>
    <t>الشركة السعودية لتفنية الألمنيوم</t>
  </si>
  <si>
    <t>saudi aluminium technical company</t>
  </si>
  <si>
    <t>salutech-سالوتك</t>
  </si>
  <si>
    <t>توريد وتركيب زجاج سبايدر/
المقاولات العامة للمباني</t>
  </si>
  <si>
    <t>مخرج17-صناعية الفهد</t>
  </si>
  <si>
    <t>0114864545
0114564760</t>
  </si>
  <si>
    <t>ص.ب 71021
الرمز البريدي11567</t>
  </si>
  <si>
    <t>محمد فهد البريدي</t>
  </si>
  <si>
    <t>m.bridy@salutech-ksa.com</t>
  </si>
  <si>
    <t>خالد أحمد</t>
  </si>
  <si>
    <t>khaled@salutech-ksa.com</t>
  </si>
  <si>
    <t>sa1105000068200769595000</t>
  </si>
  <si>
    <t>مؤسسة فواز محمد مقبل السحيمي
للمقاولات العامة</t>
  </si>
  <si>
    <t>توريد دفان رمل/مقاولات عامة</t>
  </si>
  <si>
    <t>المدينة المنورة
العزيزية-الدفاع</t>
  </si>
  <si>
    <t>فواز محمد السحيمي</t>
  </si>
  <si>
    <t>يعقوب حسن عبدالواحد السنافي</t>
  </si>
  <si>
    <t>مؤسسة براعم التميز للمقاولات</t>
  </si>
  <si>
    <t>BRAEAT ALTMAUZ CONTRACTING EST</t>
  </si>
  <si>
    <t>B.T.E</t>
  </si>
  <si>
    <t>توريد وتشغيل مضخات المياه
/مضخات زراعية/مضخات
حريق/حفر آبار/تركيب غطاسات
/مشاريع زراعية / شبكات ري
محطات تحلية</t>
  </si>
  <si>
    <t>الرياض-طريق الملك فهد-مركز الجفال
مكتب 32
المصنع:جانب مصنع الاسمنت مقابل حديقة
المناخ
حفر الباطن-الخالدية-طريق الامبر متعب</t>
  </si>
  <si>
    <t>1010514331
2511013903</t>
  </si>
  <si>
    <t>عبدالقادر أحمد</t>
  </si>
  <si>
    <t>pumps-mixed@hotmail.com</t>
  </si>
  <si>
    <t>محمد صالح النائب</t>
  </si>
  <si>
    <t>alrashidipumps@hotmail.com</t>
  </si>
  <si>
    <t>sa1980000136608010626031
مصرف الراجحي
sa4430400108095199120012
البنك العربي الوطني</t>
  </si>
  <si>
    <t>مؤسسة براعم التميز</t>
  </si>
  <si>
    <t>شركة فاروق ومأمون تمر وشركاهم</t>
  </si>
  <si>
    <t>FAROUK,MAAMOUN TAMER &amp; CO</t>
  </si>
  <si>
    <t>توريد مكائن القهوة والتعبئة والصيانة/ 
تجارة الجملة في مواد التجميل
والعطور والمواد الغذائية</t>
  </si>
  <si>
    <t>الشيخ محمد بن عبدالوهاب طريق الدرعية</t>
  </si>
  <si>
    <t>يحيى حبيل</t>
  </si>
  <si>
    <t>0126440099
تحويلة:2331</t>
  </si>
  <si>
    <t>yahiahabli@tamergroup.com</t>
  </si>
  <si>
    <t>مؤمن أبرك</t>
  </si>
  <si>
    <t>mumen.abrik@tamergroup.com</t>
  </si>
  <si>
    <t>sa4540000000000001200356</t>
  </si>
  <si>
    <t>samba financial group</t>
  </si>
  <si>
    <t>تاريخ الاضافة</t>
  </si>
  <si>
    <t xml:space="preserve"> رقم المورد</t>
  </si>
  <si>
    <t>Type Of User</t>
  </si>
  <si>
    <t>Adminstrator</t>
  </si>
  <si>
    <t>Limitted User</t>
  </si>
  <si>
    <t>Power User</t>
  </si>
  <si>
    <t>User01</t>
  </si>
  <si>
    <t>User02</t>
  </si>
  <si>
    <t>ebrahim</t>
  </si>
  <si>
    <t>ebrahim89</t>
  </si>
  <si>
    <t>username</t>
  </si>
  <si>
    <t>password</t>
  </si>
  <si>
    <t>توريد وتركيب فرمة حديد للخرسانات_x000D_
-الحدادة/ورشة حدادة</t>
  </si>
  <si>
    <t>المدينة المنورة-الجرف_x000D_
-العيون-عثمان بن عفان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</si>
</sst>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b/>
      <sz val="11"/>
      <color rgb="FF3F3F3F"/>
      <name val="Arial"/>
      <family val="2"/>
      <charset val="178"/>
      <scheme val="minor"/>
    </font>
    <font>
      <u/>
      <sz val="11"/>
      <color theme="10"/>
      <name val="Arial"/>
      <family val="2"/>
      <charset val="178"/>
      <scheme val="minor"/>
    </font>
    <font>
      <sz val="11"/>
      <color theme="10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2" borderId="1" xfId="1" applyAlignment="1">
      <alignment horizontal="center"/>
    </xf>
    <xf numFmtId="0" fontId="0" fillId="3" borderId="2" xfId="2" applyFont="1"/>
    <xf numFmtId="0" fontId="0" fillId="3" borderId="2" xfId="2" applyFont="1" applyAlignment="1">
      <alignment horizontal="center" vertical="center"/>
    </xf>
    <xf numFmtId="0" fontId="0" fillId="3" borderId="2" xfId="2" applyFont="1" applyAlignment="1">
      <alignment horizontal="center" vertical="center" wrapText="1"/>
    </xf>
    <xf numFmtId="0" fontId="3" fillId="3" borderId="2" xfId="3" applyFill="1" applyBorder="1" applyAlignment="1">
      <alignment horizontal="center" vertical="center"/>
    </xf>
    <xf numFmtId="0" fontId="3" fillId="3" borderId="2" xfId="3" applyFill="1" applyBorder="1" applyAlignment="1">
      <alignment horizontal="center" vertical="center" wrapText="1"/>
    </xf>
    <xf numFmtId="0" fontId="2" fillId="2" borderId="1" xfId="1" applyAlignment="1">
      <alignment horizontal="center" vertical="center"/>
    </xf>
    <xf numFmtId="0" fontId="0" fillId="3" borderId="2" xfId="2" applyFont="1" applyAlignment="1">
      <alignment vertical="center"/>
    </xf>
    <xf numFmtId="0" fontId="0" fillId="3" borderId="2" xfId="2" applyFont="1" applyAlignment="1"/>
    <xf numFmtId="0" fontId="4" fillId="3" borderId="2" xfId="3" applyFont="1" applyFill="1" applyBorder="1" applyAlignment="1">
      <alignment horizontal="center" vertical="center" wrapText="1"/>
    </xf>
    <xf numFmtId="0" fontId="0" fillId="3" borderId="2" xfId="2" applyFont="1" applyAlignment="1">
      <alignment horizontal="center"/>
    </xf>
    <xf numFmtId="9" fontId="0" fillId="3" borderId="2" xfId="4" applyFont="1" applyFill="1" applyBorder="1" applyAlignment="1">
      <alignment horizontal="center" vertical="center"/>
    </xf>
    <xf numFmtId="0" fontId="2" fillId="2" borderId="1" xfId="1" applyAlignment="1">
      <alignment horizontal="center" wrapText="1"/>
    </xf>
    <xf numFmtId="0" fontId="0" fillId="0" borderId="0" xfId="0" applyAlignment="1">
      <alignment wrapText="1"/>
    </xf>
    <xf numFmtId="0" fontId="2" fillId="2" borderId="3" xfId="1" applyBorder="1" applyAlignment="1">
      <alignment horizontal="center"/>
    </xf>
    <xf numFmtId="14" fontId="0" fillId="0" borderId="0" xfId="0" applyNumberFormat="1"/>
    <xf numFmtId="0" fontId="0" fillId="4" borderId="0" xfId="0" applyFill="1"/>
    <xf numFmtId="0" fontId="2" fillId="2" borderId="3" xfId="1" applyBorder="1" applyAlignment="1">
      <alignment horizontal="center" vertical="center"/>
    </xf>
    <xf numFmtId="0" fontId="0" fillId="0" borderId="0" xfId="0" applyAlignment="1">
      <alignment horizontal="left"/>
    </xf>
    <xf numFmtId="0" fontId="5" fillId="5" borderId="0" xfId="0" applyFont="1" applyFill="1"/>
    <xf numFmtId="0" fontId="5" fillId="5" borderId="0" xfId="0" applyFont="1" applyFill="1" applyAlignment="1">
      <alignment horizontal="left"/>
    </xf>
  </cellXfs>
  <cellStyles count="5">
    <cellStyle name="Hyperlink" xfId="3" builtinId="8"/>
    <cellStyle name="Normal" xfId="0" builtinId="0"/>
    <cellStyle name="Note" xfId="2" builtinId="10"/>
    <cellStyle name="Output" xfId="1" builtinId="2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khaled@salutech-ksa.com" TargetMode="External"/><Relationship Id="rId21" Type="http://schemas.openxmlformats.org/officeDocument/2006/relationships/hyperlink" Target="mailto:durrahriyash@hotmail.com" TargetMode="External"/><Relationship Id="rId42" Type="http://schemas.openxmlformats.org/officeDocument/2006/relationships/hyperlink" Target="mailto:Info@Wadyan.sa" TargetMode="External"/><Relationship Id="rId47" Type="http://schemas.openxmlformats.org/officeDocument/2006/relationships/hyperlink" Target="mailto:shabeer@connect.com.sa" TargetMode="External"/><Relationship Id="rId63" Type="http://schemas.openxmlformats.org/officeDocument/2006/relationships/hyperlink" Target="mailto:mumen.abrik@tamergroup.com" TargetMode="External"/><Relationship Id="rId68" Type="http://schemas.openxmlformats.org/officeDocument/2006/relationships/hyperlink" Target="mailto:ghamdiry@amghamdi.com" TargetMode="External"/><Relationship Id="rId7" Type="http://schemas.openxmlformats.org/officeDocument/2006/relationships/hyperlink" Target="mailto:Desoky@WhiteNile-KSA.com" TargetMode="External"/><Relationship Id="rId71" Type="http://schemas.openxmlformats.org/officeDocument/2006/relationships/hyperlink" Target="mailto:johnson@paintco.net" TargetMode="External"/><Relationship Id="rId2" Type="http://schemas.openxmlformats.org/officeDocument/2006/relationships/hyperlink" Target="mailto:saad2342015@gmail.com" TargetMode="External"/><Relationship Id="rId16" Type="http://schemas.openxmlformats.org/officeDocument/2006/relationships/hyperlink" Target="mailto:malothimeen@elite-d.com" TargetMode="External"/><Relationship Id="rId29" Type="http://schemas.openxmlformats.org/officeDocument/2006/relationships/hyperlink" Target="mailto:abdullah.daghistani@elctric-house.com" TargetMode="External"/><Relationship Id="rId11" Type="http://schemas.openxmlformats.org/officeDocument/2006/relationships/hyperlink" Target="mailto:Alawame.Ashraf@yahoo.com" TargetMode="External"/><Relationship Id="rId24" Type="http://schemas.openxmlformats.org/officeDocument/2006/relationships/hyperlink" Target="mailto:mohaed.anfalalmostakbal@hotmail.com" TargetMode="External"/><Relationship Id="rId32" Type="http://schemas.openxmlformats.org/officeDocument/2006/relationships/hyperlink" Target="mailto:riyadh@nvcksa.com" TargetMode="External"/><Relationship Id="rId37" Type="http://schemas.openxmlformats.org/officeDocument/2006/relationships/hyperlink" Target="mailto:info@ultra-light.net" TargetMode="External"/><Relationship Id="rId40" Type="http://schemas.openxmlformats.org/officeDocument/2006/relationships/hyperlink" Target="mailto:Alfalaknetwork@gmail.com" TargetMode="External"/><Relationship Id="rId45" Type="http://schemas.openxmlformats.org/officeDocument/2006/relationships/hyperlink" Target="mailto:pankaj@msj.com.sa" TargetMode="External"/><Relationship Id="rId53" Type="http://schemas.openxmlformats.org/officeDocument/2006/relationships/hyperlink" Target="mailto:rthomas@alfasaliah.com" TargetMode="External"/><Relationship Id="rId58" Type="http://schemas.openxmlformats.org/officeDocument/2006/relationships/hyperlink" Target="mailto:roshdi_khirallah@hshaker.com.sa" TargetMode="External"/><Relationship Id="rId66" Type="http://schemas.openxmlformats.org/officeDocument/2006/relationships/hyperlink" Target="mailto:Rawabi@Zamilco.com" TargetMode="External"/><Relationship Id="rId5" Type="http://schemas.openxmlformats.org/officeDocument/2006/relationships/hyperlink" Target="mailto:abozar-1@hotmail.com" TargetMode="External"/><Relationship Id="rId61" Type="http://schemas.openxmlformats.org/officeDocument/2006/relationships/hyperlink" Target="mailto:alrashidipumps@hotmail.com" TargetMode="External"/><Relationship Id="rId19" Type="http://schemas.openxmlformats.org/officeDocument/2006/relationships/hyperlink" Target="mailto:zitounahmad@gmail.com" TargetMode="External"/><Relationship Id="rId14" Type="http://schemas.openxmlformats.org/officeDocument/2006/relationships/hyperlink" Target="mailto:basuny310@yahoo.com" TargetMode="External"/><Relationship Id="rId22" Type="http://schemas.openxmlformats.org/officeDocument/2006/relationships/hyperlink" Target="mailto:rabie.dsoyed@rajhisteal.com" TargetMode="External"/><Relationship Id="rId27" Type="http://schemas.openxmlformats.org/officeDocument/2006/relationships/hyperlink" Target="mailto:YAZEN@ALMISBAHHOUSE.COM" TargetMode="External"/><Relationship Id="rId30" Type="http://schemas.openxmlformats.org/officeDocument/2006/relationships/hyperlink" Target="mailto:ahmed.mkhallati@elctric-house.com" TargetMode="External"/><Relationship Id="rId35" Type="http://schemas.openxmlformats.org/officeDocument/2006/relationships/hyperlink" Target="mailto:alaa@ksc.com.sa" TargetMode="External"/><Relationship Id="rId43" Type="http://schemas.openxmlformats.org/officeDocument/2006/relationships/hyperlink" Target="mailto:abdelnasser_zaki@yahoo.com" TargetMode="External"/><Relationship Id="rId48" Type="http://schemas.openxmlformats.org/officeDocument/2006/relationships/hyperlink" Target="mailto:Eslam@mejdaf.com" TargetMode="External"/><Relationship Id="rId56" Type="http://schemas.openxmlformats.org/officeDocument/2006/relationships/hyperlink" Target="mailto:bassel@akh-sa.com" TargetMode="External"/><Relationship Id="rId64" Type="http://schemas.openxmlformats.org/officeDocument/2006/relationships/hyperlink" Target="mailto:Jouf_est@yahoo.com" TargetMode="External"/><Relationship Id="rId69" Type="http://schemas.openxmlformats.org/officeDocument/2006/relationships/hyperlink" Target="mailto:hamzajarraar84@gmail.com" TargetMode="External"/><Relationship Id="rId8" Type="http://schemas.openxmlformats.org/officeDocument/2006/relationships/hyperlink" Target="mailto:Ibrahimeldesoky73@gmail.com" TargetMode="External"/><Relationship Id="rId51" Type="http://schemas.openxmlformats.org/officeDocument/2006/relationships/hyperlink" Target="mailto:haitham_qadi@hq_electro.com" TargetMode="External"/><Relationship Id="rId72" Type="http://schemas.openxmlformats.org/officeDocument/2006/relationships/printerSettings" Target="../printerSettings/printerSettings1.bin"/><Relationship Id="rId3" Type="http://schemas.openxmlformats.org/officeDocument/2006/relationships/hyperlink" Target="mailto:must_zedan@yahoo.com" TargetMode="External"/><Relationship Id="rId12" Type="http://schemas.openxmlformats.org/officeDocument/2006/relationships/hyperlink" Target="mailto:Gnhal77@gmail.com" TargetMode="External"/><Relationship Id="rId17" Type="http://schemas.openxmlformats.org/officeDocument/2006/relationships/hyperlink" Target="mailto:ceo@modernvision.com.sa" TargetMode="External"/><Relationship Id="rId25" Type="http://schemas.openxmlformats.org/officeDocument/2006/relationships/hyperlink" Target="mailto:m.bridy@salutech-ksa.com" TargetMode="External"/><Relationship Id="rId33" Type="http://schemas.openxmlformats.org/officeDocument/2006/relationships/hyperlink" Target="mailto:donada@hotmail.com" TargetMode="External"/><Relationship Id="rId38" Type="http://schemas.openxmlformats.org/officeDocument/2006/relationships/hyperlink" Target="mailto:sales.ultralight@hotmail.com" TargetMode="External"/><Relationship Id="rId46" Type="http://schemas.openxmlformats.org/officeDocument/2006/relationships/hyperlink" Target="mailto:anas@connect.com.sa" TargetMode="External"/><Relationship Id="rId59" Type="http://schemas.openxmlformats.org/officeDocument/2006/relationships/hyperlink" Target="mailto:salah@zatangas.com" TargetMode="External"/><Relationship Id="rId67" Type="http://schemas.openxmlformats.org/officeDocument/2006/relationships/hyperlink" Target="mailto:Alyasin@Zamilco.com" TargetMode="External"/><Relationship Id="rId20" Type="http://schemas.openxmlformats.org/officeDocument/2006/relationships/hyperlink" Target="mailto:gahtani.company@gmail.com" TargetMode="External"/><Relationship Id="rId41" Type="http://schemas.openxmlformats.org/officeDocument/2006/relationships/hyperlink" Target="mailto:Fouad@Wadyan.sa" TargetMode="External"/><Relationship Id="rId54" Type="http://schemas.openxmlformats.org/officeDocument/2006/relationships/hyperlink" Target="mailto:mabdulrahim@alfaisaliah.com" TargetMode="External"/><Relationship Id="rId62" Type="http://schemas.openxmlformats.org/officeDocument/2006/relationships/hyperlink" Target="mailto:yahiahabli@tamergroup.com" TargetMode="External"/><Relationship Id="rId70" Type="http://schemas.openxmlformats.org/officeDocument/2006/relationships/hyperlink" Target="mailto:dorar.alabraj@gmail.com" TargetMode="External"/><Relationship Id="rId1" Type="http://schemas.openxmlformats.org/officeDocument/2006/relationships/hyperlink" Target="mailto:sfs_ro@yahoo.com" TargetMode="External"/><Relationship Id="rId6" Type="http://schemas.openxmlformats.org/officeDocument/2006/relationships/hyperlink" Target="mailto:Abu_joud@hotmail.com" TargetMode="External"/><Relationship Id="rId15" Type="http://schemas.openxmlformats.org/officeDocument/2006/relationships/hyperlink" Target="mailto:info@elite-d.com" TargetMode="External"/><Relationship Id="rId23" Type="http://schemas.openxmlformats.org/officeDocument/2006/relationships/hyperlink" Target="mailto:yasser.anfalalmostakbal@hotmail.com" TargetMode="External"/><Relationship Id="rId28" Type="http://schemas.openxmlformats.org/officeDocument/2006/relationships/hyperlink" Target="mailto:BASHEER@ALMISBAHHOUSE.COM" TargetMode="External"/><Relationship Id="rId36" Type="http://schemas.openxmlformats.org/officeDocument/2006/relationships/hyperlink" Target="mailto:mo.beltagy@yahoo.com" TargetMode="External"/><Relationship Id="rId49" Type="http://schemas.openxmlformats.org/officeDocument/2006/relationships/hyperlink" Target="mailto:sales1@osasksa.com" TargetMode="External"/><Relationship Id="rId57" Type="http://schemas.openxmlformats.org/officeDocument/2006/relationships/hyperlink" Target="mailto:ahmed_hussein@hshaker.com.sa" TargetMode="External"/><Relationship Id="rId10" Type="http://schemas.openxmlformats.org/officeDocument/2006/relationships/hyperlink" Target="mailto:Arabia@RAKCerm.com.sa" TargetMode="External"/><Relationship Id="rId31" Type="http://schemas.openxmlformats.org/officeDocument/2006/relationships/hyperlink" Target="mailto:bryan@nvcksa.com" TargetMode="External"/><Relationship Id="rId44" Type="http://schemas.openxmlformats.org/officeDocument/2006/relationships/hyperlink" Target="mailto:msj@msj.com.sa" TargetMode="External"/><Relationship Id="rId52" Type="http://schemas.openxmlformats.org/officeDocument/2006/relationships/hyperlink" Target="mailto:sales6@hq_electro.com" TargetMode="External"/><Relationship Id="rId60" Type="http://schemas.openxmlformats.org/officeDocument/2006/relationships/hyperlink" Target="mailto:pumps-mixed@hotmail.com" TargetMode="External"/><Relationship Id="rId65" Type="http://schemas.openxmlformats.org/officeDocument/2006/relationships/hyperlink" Target="mailto:Jouf_est@yahoo.com" TargetMode="External"/><Relationship Id="rId4" Type="http://schemas.openxmlformats.org/officeDocument/2006/relationships/hyperlink" Target="mailto:must_zedan@yahoo.com" TargetMode="External"/><Relationship Id="rId9" Type="http://schemas.openxmlformats.org/officeDocument/2006/relationships/hyperlink" Target="mailto:Rabiahs@RAKCerm.com.sa" TargetMode="External"/><Relationship Id="rId13" Type="http://schemas.openxmlformats.org/officeDocument/2006/relationships/hyperlink" Target="mailto:Gh_1400@hotmail.com" TargetMode="External"/><Relationship Id="rId18" Type="http://schemas.openxmlformats.org/officeDocument/2006/relationships/hyperlink" Target="mailto:ahmed.hamza@modrenvision.com.sa" TargetMode="External"/><Relationship Id="rId39" Type="http://schemas.openxmlformats.org/officeDocument/2006/relationships/hyperlink" Target="mailto:Alfalaknetwork@gmail.com" TargetMode="External"/><Relationship Id="rId34" Type="http://schemas.openxmlformats.org/officeDocument/2006/relationships/hyperlink" Target="mailto:alaa@ksc.com.sa" TargetMode="External"/><Relationship Id="rId50" Type="http://schemas.openxmlformats.org/officeDocument/2006/relationships/hyperlink" Target="mailto:a.melegy@osasksa.com" TargetMode="External"/><Relationship Id="rId55" Type="http://schemas.openxmlformats.org/officeDocument/2006/relationships/hyperlink" Target="mailto:khalidms@akh-sa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must_zedan@yahoo.com" TargetMode="External"/><Relationship Id="rId3" Type="http://schemas.openxmlformats.org/officeDocument/2006/relationships/hyperlink" Target="mailto:Hossneyhesham5@gmail.com" TargetMode="External"/><Relationship Id="rId7" Type="http://schemas.openxmlformats.org/officeDocument/2006/relationships/hyperlink" Target="mailto:O.Aboubakr@Zamilco.com" TargetMode="External"/><Relationship Id="rId2" Type="http://schemas.openxmlformats.org/officeDocument/2006/relationships/hyperlink" Target="mailto:Ri-North@Manar.com.sa" TargetMode="External"/><Relationship Id="rId1" Type="http://schemas.openxmlformats.org/officeDocument/2006/relationships/hyperlink" Target="mailto:Ri-North@Manar.com.sa" TargetMode="External"/><Relationship Id="rId6" Type="http://schemas.openxmlformats.org/officeDocument/2006/relationships/hyperlink" Target="mailto:WaleedGaber@zamilco.com" TargetMode="External"/><Relationship Id="rId5" Type="http://schemas.openxmlformats.org/officeDocument/2006/relationships/hyperlink" Target="mailto:saad2342015@gmail.com" TargetMode="External"/><Relationship Id="rId10" Type="http://schemas.openxmlformats.org/officeDocument/2006/relationships/hyperlink" Target="mailto:abozar-1@hotmail.com" TargetMode="External"/><Relationship Id="rId4" Type="http://schemas.openxmlformats.org/officeDocument/2006/relationships/hyperlink" Target="mailto:sfs_ro@yahoo.com" TargetMode="External"/><Relationship Id="rId9" Type="http://schemas.openxmlformats.org/officeDocument/2006/relationships/hyperlink" Target="mailto:must_zedan@yahoo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lawame.Ashraf@yahoo.com" TargetMode="External"/><Relationship Id="rId13" Type="http://schemas.openxmlformats.org/officeDocument/2006/relationships/hyperlink" Target="mailto:malothimeen@elite-d.com" TargetMode="External"/><Relationship Id="rId18" Type="http://schemas.openxmlformats.org/officeDocument/2006/relationships/hyperlink" Target="mailto:durrahriyash@hotmail.com" TargetMode="External"/><Relationship Id="rId3" Type="http://schemas.openxmlformats.org/officeDocument/2006/relationships/hyperlink" Target="mailto:Ibrahimeldesoky73@gmail.com" TargetMode="External"/><Relationship Id="rId21" Type="http://schemas.openxmlformats.org/officeDocument/2006/relationships/hyperlink" Target="mailto:mohaed.anfalalmostakbal@hotmail.com" TargetMode="External"/><Relationship Id="rId7" Type="http://schemas.openxmlformats.org/officeDocument/2006/relationships/hyperlink" Target="mailto:A.sawy@tubal-sa.com" TargetMode="External"/><Relationship Id="rId12" Type="http://schemas.openxmlformats.org/officeDocument/2006/relationships/hyperlink" Target="mailto:info@elite-d.com" TargetMode="External"/><Relationship Id="rId17" Type="http://schemas.openxmlformats.org/officeDocument/2006/relationships/hyperlink" Target="mailto:gahtani.company@gmail.com" TargetMode="External"/><Relationship Id="rId2" Type="http://schemas.openxmlformats.org/officeDocument/2006/relationships/hyperlink" Target="mailto:Desoky@WhiteNile-KSA.com" TargetMode="External"/><Relationship Id="rId16" Type="http://schemas.openxmlformats.org/officeDocument/2006/relationships/hyperlink" Target="mailto:zitounahmad@gmail.com" TargetMode="External"/><Relationship Id="rId20" Type="http://schemas.openxmlformats.org/officeDocument/2006/relationships/hyperlink" Target="mailto:yasser.anfalalmostakbal@hotmail.com" TargetMode="External"/><Relationship Id="rId1" Type="http://schemas.openxmlformats.org/officeDocument/2006/relationships/hyperlink" Target="mailto:Abu_joud@hotmail.com" TargetMode="External"/><Relationship Id="rId6" Type="http://schemas.openxmlformats.org/officeDocument/2006/relationships/hyperlink" Target="mailto:Ghassan.msmar@tubal-sa.com" TargetMode="External"/><Relationship Id="rId11" Type="http://schemas.openxmlformats.org/officeDocument/2006/relationships/hyperlink" Target="mailto:basuny310@yahoo.com" TargetMode="External"/><Relationship Id="rId5" Type="http://schemas.openxmlformats.org/officeDocument/2006/relationships/hyperlink" Target="mailto:Arabia@RAKCerm.com.sa" TargetMode="External"/><Relationship Id="rId15" Type="http://schemas.openxmlformats.org/officeDocument/2006/relationships/hyperlink" Target="mailto:ahmed.hamza@modrenvision.com.sa" TargetMode="External"/><Relationship Id="rId23" Type="http://schemas.openxmlformats.org/officeDocument/2006/relationships/hyperlink" Target="mailto:khaled@salutech-ksa.com" TargetMode="External"/><Relationship Id="rId10" Type="http://schemas.openxmlformats.org/officeDocument/2006/relationships/hyperlink" Target="mailto:Gh_1400@hotmail.com" TargetMode="External"/><Relationship Id="rId19" Type="http://schemas.openxmlformats.org/officeDocument/2006/relationships/hyperlink" Target="mailto:rabie.dsoyed@rajhisteal.com" TargetMode="External"/><Relationship Id="rId4" Type="http://schemas.openxmlformats.org/officeDocument/2006/relationships/hyperlink" Target="mailto:Rabiahs@RAKCerm.com.sa" TargetMode="External"/><Relationship Id="rId9" Type="http://schemas.openxmlformats.org/officeDocument/2006/relationships/hyperlink" Target="mailto:Gnhal77@gmail.com" TargetMode="External"/><Relationship Id="rId14" Type="http://schemas.openxmlformats.org/officeDocument/2006/relationships/hyperlink" Target="mailto:ceo@modernvision.com.sa" TargetMode="External"/><Relationship Id="rId22" Type="http://schemas.openxmlformats.org/officeDocument/2006/relationships/hyperlink" Target="mailto:m.bridy@salutech-ksa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donada@hotmail.com" TargetMode="External"/><Relationship Id="rId13" Type="http://schemas.openxmlformats.org/officeDocument/2006/relationships/hyperlink" Target="mailto:sales.ultralight@hotmail.com" TargetMode="External"/><Relationship Id="rId3" Type="http://schemas.openxmlformats.org/officeDocument/2006/relationships/hyperlink" Target="mailto:BASHEER@ALMISBAHHOUSE.COM" TargetMode="External"/><Relationship Id="rId7" Type="http://schemas.openxmlformats.org/officeDocument/2006/relationships/hyperlink" Target="mailto:riyadh@nvcksa.com" TargetMode="External"/><Relationship Id="rId12" Type="http://schemas.openxmlformats.org/officeDocument/2006/relationships/hyperlink" Target="mailto:info@ultra-light.net" TargetMode="External"/><Relationship Id="rId2" Type="http://schemas.openxmlformats.org/officeDocument/2006/relationships/hyperlink" Target="mailto:YAZEN@ALMISBAHHOUSE.COM" TargetMode="External"/><Relationship Id="rId1" Type="http://schemas.openxmlformats.org/officeDocument/2006/relationships/printerSettings" Target="../printerSettings/printerSettings2.bin"/><Relationship Id="rId6" Type="http://schemas.openxmlformats.org/officeDocument/2006/relationships/hyperlink" Target="mailto:bryan@nvcksa.com" TargetMode="External"/><Relationship Id="rId11" Type="http://schemas.openxmlformats.org/officeDocument/2006/relationships/hyperlink" Target="mailto:mo.beltagy@yahoo.com" TargetMode="External"/><Relationship Id="rId5" Type="http://schemas.openxmlformats.org/officeDocument/2006/relationships/hyperlink" Target="mailto:ahmed.mkhallati@elctric-house.com" TargetMode="External"/><Relationship Id="rId10" Type="http://schemas.openxmlformats.org/officeDocument/2006/relationships/hyperlink" Target="mailto:alaa@ksc.com.sa" TargetMode="External"/><Relationship Id="rId4" Type="http://schemas.openxmlformats.org/officeDocument/2006/relationships/hyperlink" Target="mailto:abdullah.daghistani@elctric-house.com" TargetMode="External"/><Relationship Id="rId9" Type="http://schemas.openxmlformats.org/officeDocument/2006/relationships/hyperlink" Target="mailto:alaa@ksc.com.sa" TargetMode="External"/><Relationship Id="rId1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nas@connect.com.sa" TargetMode="External"/><Relationship Id="rId13" Type="http://schemas.openxmlformats.org/officeDocument/2006/relationships/hyperlink" Target="mailto:haitham_qadi@hq_electro.com" TargetMode="External"/><Relationship Id="rId18" Type="http://schemas.openxmlformats.org/officeDocument/2006/relationships/hyperlink" Target="mailto:bassel@akh-sa.com" TargetMode="External"/><Relationship Id="rId3" Type="http://schemas.openxmlformats.org/officeDocument/2006/relationships/hyperlink" Target="mailto:Fouad@Wadyan.sa" TargetMode="External"/><Relationship Id="rId21" Type="http://schemas.openxmlformats.org/officeDocument/2006/relationships/hyperlink" Target="mailto:salah@zatangas.com" TargetMode="External"/><Relationship Id="rId7" Type="http://schemas.openxmlformats.org/officeDocument/2006/relationships/hyperlink" Target="mailto:pankaj@msj.com.sa" TargetMode="External"/><Relationship Id="rId12" Type="http://schemas.openxmlformats.org/officeDocument/2006/relationships/hyperlink" Target="mailto:a.melegy@osasksa.com" TargetMode="External"/><Relationship Id="rId17" Type="http://schemas.openxmlformats.org/officeDocument/2006/relationships/hyperlink" Target="mailto:khalidms@akh-sa.com" TargetMode="External"/><Relationship Id="rId25" Type="http://schemas.openxmlformats.org/officeDocument/2006/relationships/hyperlink" Target="mailto:mumen.abrik@tamergroup.com" TargetMode="External"/><Relationship Id="rId2" Type="http://schemas.openxmlformats.org/officeDocument/2006/relationships/hyperlink" Target="mailto:Alfalaknetwork@gmail.com" TargetMode="External"/><Relationship Id="rId16" Type="http://schemas.openxmlformats.org/officeDocument/2006/relationships/hyperlink" Target="mailto:mabdulrahim@alfaisaliah.com" TargetMode="External"/><Relationship Id="rId20" Type="http://schemas.openxmlformats.org/officeDocument/2006/relationships/hyperlink" Target="mailto:roshdi_khirallah@hshaker.com.sa" TargetMode="External"/><Relationship Id="rId1" Type="http://schemas.openxmlformats.org/officeDocument/2006/relationships/hyperlink" Target="mailto:Alfalaknetwork@gmail.com" TargetMode="External"/><Relationship Id="rId6" Type="http://schemas.openxmlformats.org/officeDocument/2006/relationships/hyperlink" Target="mailto:msj@msj.com.sa" TargetMode="External"/><Relationship Id="rId11" Type="http://schemas.openxmlformats.org/officeDocument/2006/relationships/hyperlink" Target="mailto:sales1@osasksa.com" TargetMode="External"/><Relationship Id="rId24" Type="http://schemas.openxmlformats.org/officeDocument/2006/relationships/hyperlink" Target="mailto:yahiahabli@tamergroup.com" TargetMode="External"/><Relationship Id="rId5" Type="http://schemas.openxmlformats.org/officeDocument/2006/relationships/hyperlink" Target="mailto:abdelnasser_zaki@yahoo.com" TargetMode="External"/><Relationship Id="rId15" Type="http://schemas.openxmlformats.org/officeDocument/2006/relationships/hyperlink" Target="mailto:rthomas@alfasaliah.com" TargetMode="External"/><Relationship Id="rId23" Type="http://schemas.openxmlformats.org/officeDocument/2006/relationships/hyperlink" Target="mailto:alrashidipumps@hotmail.com" TargetMode="External"/><Relationship Id="rId10" Type="http://schemas.openxmlformats.org/officeDocument/2006/relationships/hyperlink" Target="mailto:Eslam@mejdaf.com" TargetMode="External"/><Relationship Id="rId19" Type="http://schemas.openxmlformats.org/officeDocument/2006/relationships/hyperlink" Target="mailto:ahmed_hussein@hshaker.com.sa" TargetMode="External"/><Relationship Id="rId4" Type="http://schemas.openxmlformats.org/officeDocument/2006/relationships/hyperlink" Target="mailto:Info@Wadyan.sa" TargetMode="External"/><Relationship Id="rId9" Type="http://schemas.openxmlformats.org/officeDocument/2006/relationships/hyperlink" Target="mailto:shabeer@connect.com.sa" TargetMode="External"/><Relationship Id="rId14" Type="http://schemas.openxmlformats.org/officeDocument/2006/relationships/hyperlink" Target="mailto:sales6@hq_electro.com" TargetMode="External"/><Relationship Id="rId22" Type="http://schemas.openxmlformats.org/officeDocument/2006/relationships/hyperlink" Target="mailto:pumps-mixed@hot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Jouf_est@yahoo.com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mailto:Jouf_est@yahoo.com" TargetMode="External"/><Relationship Id="rId1" Type="http://schemas.openxmlformats.org/officeDocument/2006/relationships/printerSettings" Target="../printerSettings/printerSettings4.bin"/><Relationship Id="rId6" Type="http://schemas.openxmlformats.org/officeDocument/2006/relationships/hyperlink" Target="mailto:ghamdiry@amghamdi.com" TargetMode="External"/><Relationship Id="rId5" Type="http://schemas.openxmlformats.org/officeDocument/2006/relationships/hyperlink" Target="mailto:Alyasin@Zamilco.com" TargetMode="External"/><Relationship Id="rId4" Type="http://schemas.openxmlformats.org/officeDocument/2006/relationships/hyperlink" Target="mailto:Rawabi@Zamilc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dorar.alabraj@gmail.com" TargetMode="External"/><Relationship Id="rId2" Type="http://schemas.openxmlformats.org/officeDocument/2006/relationships/hyperlink" Target="mailto:hamzajarraar84@gmail.com" TargetMode="External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mailto:johnson@paintco.net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8"/>
  <dimension ref="A1:AP84"/>
  <sheetViews>
    <sheetView rightToLeft="1" tabSelected="1" topLeftCell="A25" workbookViewId="0">
      <selection activeCell="B8" sqref="B8"/>
    </sheetView>
  </sheetViews>
  <sheetFormatPr defaultRowHeight="14.25" x14ac:dyDescent="0.2"/>
  <cols>
    <col min="1" max="1" width="8.125" customWidth="1"/>
    <col min="2" max="2" width="31.875" customWidth="1"/>
    <col min="3" max="3" width="28.75" customWidth="1"/>
    <col min="4" max="4" width="22.875" customWidth="1"/>
    <col min="5" max="20" width="15.625" customWidth="1"/>
    <col min="21" max="21" width="18.375" style="17" customWidth="1"/>
    <col min="22" max="22" width="18.375" customWidth="1"/>
    <col min="23" max="23" width="19.5" customWidth="1"/>
    <col min="26" max="26" width="35.75" customWidth="1"/>
    <col min="27" max="27" width="10.875" bestFit="1" customWidth="1"/>
    <col min="28" max="28" width="27.375" customWidth="1"/>
    <col min="29" max="29" width="16.75" customWidth="1"/>
    <col min="30" max="30" width="9.875" bestFit="1" customWidth="1"/>
    <col min="32" max="32" width="14.75" customWidth="1"/>
    <col min="33" max="33" width="9.875" bestFit="1" customWidth="1"/>
    <col min="34" max="34" width="12.125" customWidth="1"/>
    <col min="36" max="36" width="9.875" bestFit="1" customWidth="1"/>
    <col min="38" max="38" width="20.375" customWidth="1"/>
    <col min="39" max="39" width="19.625" customWidth="1"/>
    <col min="40" max="40" width="15.125" customWidth="1"/>
    <col min="41" max="41" width="9.875" style="16" bestFit="1" customWidth="1"/>
    <col min="42" max="42" width="18.625" customWidth="1"/>
  </cols>
  <sheetData>
    <row r="1" spans="1:42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  <c r="T1" s="15" t="s">
        <v>742</v>
      </c>
    </row>
    <row r="2" spans="1:42" ht="15" x14ac:dyDescent="0.2">
      <c r="A2" s="7" t="b">
        <v>1</v>
      </c>
      <c r="B2" s="3"/>
      <c r="C2" s="3"/>
      <c r="D2" s="3"/>
      <c r="E2" s="4"/>
      <c r="F2" s="3"/>
      <c r="G2" s="4"/>
      <c r="H2" s="3"/>
      <c r="I2" s="3"/>
      <c r="J2" s="4"/>
      <c r="K2" s="3"/>
      <c r="L2" s="3"/>
      <c r="M2" s="3"/>
      <c r="N2" s="3"/>
      <c r="O2" s="3"/>
      <c r="P2" s="3"/>
      <c r="Q2" s="3"/>
      <c r="R2" s="4"/>
      <c r="S2" s="3"/>
      <c r="T2" s="16"/>
      <c r="V2">
        <v>8</v>
      </c>
      <c r="W2" t="str">
        <f>IFERROR(VLOOKUP(V2,A2:T3326,2,0),"")</f>
        <v>ورشة نورة محسن نقاء الردادي للحدادة</v>
      </c>
      <c r="X2">
        <f>IFERROR(VLOOKUP(V2,A2:T3326,3,0),"")</f>
        <v>0</v>
      </c>
      <c r="Y2">
        <f>IFERROR(VLOOKUP(V2,A2:T3326,4,0),"")</f>
        <v>0</v>
      </c>
      <c r="Z2" t="str">
        <f>IFERROR(VLOOKUP(V2,A2:T3326,5,0),"")</f>
        <v>توريد وتركيب فرمة حديد للخرسانات
-الحدادة/ورشة حدادة</v>
      </c>
      <c r="AA2">
        <f>IFERROR(VLOOKUP(V2,A2:T3326,6,0),"")</f>
        <v>4650057116</v>
      </c>
      <c r="AB2" t="str">
        <f>IFERROR(VLOOKUP(V2,A2:T3326,7,0),"")</f>
        <v>المدينة المنورة-الجرف
-العيون-عثمان بن عفان</v>
      </c>
      <c r="AC2">
        <f>IFERROR(VLOOKUP(V2,A2:T3326,8,0),"")</f>
        <v>0</v>
      </c>
      <c r="AD2">
        <f>IFERROR(VLOOKUP(V2,A2:T3326,9,0),"")</f>
        <v>0</v>
      </c>
      <c r="AE2">
        <f>IFERROR(VLOOKUP(V2,A2:T3326,10,0),"")</f>
        <v>0</v>
      </c>
      <c r="AF2" t="str">
        <f>IFERROR(VLOOKUP(V2,A2:T3326,11,0),"")</f>
        <v>نورة محسن نقاء الردادي</v>
      </c>
      <c r="AG2">
        <f>IFERROR(VLOOKUP(V2,A2:T3326,12,0),"")</f>
        <v>504343728</v>
      </c>
      <c r="AH2">
        <f>IFERROR(VLOOKUP(V2,A2:T3326,13,0),"")</f>
        <v>0</v>
      </c>
      <c r="AI2" t="str">
        <f>IFERROR(VLOOKUP(V2,A2:T3326,14,0),"")</f>
        <v>محمد سليم عبدالغفور</v>
      </c>
      <c r="AJ2">
        <f>IFERROR(VLOOKUP(V2,A2:T3326,15,0),"")</f>
        <v>504343738</v>
      </c>
      <c r="AK2">
        <f>IFERROR(VLOOKUP(V2,A2:T3326,16,0),"")</f>
        <v>0</v>
      </c>
      <c r="AL2">
        <f>IFERROR(VLOOKUP(V2,A2:T3326,17,0),"")</f>
        <v>419608010012842</v>
      </c>
      <c r="AM2" t="str">
        <f>IFERROR(VLOOKUP(V2,A2:T3326,18,0),"")</f>
        <v>بنك الراجحي</v>
      </c>
      <c r="AN2" t="str">
        <f>IFERROR(VLOOKUP(V2,A2:T3326,19,0),"")</f>
        <v>محمد سليم عبدالغفور</v>
      </c>
      <c r="AO2" s="16">
        <f>IFERROR(VLOOKUP(V2,A2:T3326,20,0),"")</f>
        <v>42743</v>
      </c>
      <c r="AP2" t="str">
        <f>IFERROR(VLOOKUP(V2,A2:T3326,21,0),"")</f>
        <v/>
      </c>
    </row>
    <row r="3" spans="1:42" ht="15" x14ac:dyDescent="0.2">
      <c r="A3" s="7" t="b">
        <v>1</v>
      </c>
      <c r="B3" s="3"/>
      <c r="C3" s="3"/>
      <c r="D3" s="3"/>
      <c r="E3" s="4"/>
      <c r="F3" s="3"/>
      <c r="G3" s="4"/>
      <c r="H3" s="3"/>
      <c r="I3" s="3"/>
      <c r="J3" s="4"/>
      <c r="K3" s="3"/>
      <c r="L3" s="3"/>
      <c r="M3" s="3"/>
      <c r="N3" s="3"/>
      <c r="O3" s="3"/>
      <c r="P3" s="3"/>
      <c r="Q3" s="3"/>
      <c r="R3" s="4"/>
      <c r="S3" s="3"/>
      <c r="T3" s="16"/>
    </row>
    <row r="4" spans="1:42" ht="15" x14ac:dyDescent="0.2">
      <c r="A4" s="7" t="b">
        <v>1</v>
      </c>
      <c r="B4" s="3"/>
      <c r="C4" s="3"/>
      <c r="D4" s="3"/>
      <c r="E4" s="4"/>
      <c r="F4" s="3"/>
      <c r="G4" s="4"/>
      <c r="H4" s="3"/>
      <c r="I4" s="3"/>
      <c r="J4" s="4"/>
      <c r="K4" s="3"/>
      <c r="L4" s="3"/>
      <c r="M4" s="3"/>
      <c r="N4" s="3"/>
      <c r="O4" s="3"/>
      <c r="P4" s="3"/>
      <c r="Q4" s="3"/>
      <c r="R4" s="4"/>
      <c r="S4" s="3"/>
      <c r="T4" s="16"/>
    </row>
    <row r="5" spans="1:42" ht="15" x14ac:dyDescent="0.2">
      <c r="A5" s="7" t="b">
        <v>1</v>
      </c>
      <c r="B5" s="3"/>
      <c r="C5" s="3"/>
      <c r="D5" s="3"/>
      <c r="E5" s="4"/>
      <c r="F5" s="3"/>
      <c r="G5" s="4"/>
      <c r="H5" s="3"/>
      <c r="I5" s="3"/>
      <c r="J5" s="4"/>
      <c r="K5" s="3"/>
      <c r="L5" s="3"/>
      <c r="M5" s="3"/>
      <c r="N5" s="3"/>
      <c r="O5" s="3"/>
      <c r="P5" s="3"/>
      <c r="Q5" s="3"/>
      <c r="R5" s="4"/>
      <c r="S5" s="3"/>
      <c r="T5" s="16"/>
    </row>
    <row r="6" spans="1:42" ht="15" x14ac:dyDescent="0.2">
      <c r="A6" s="7" t="b">
        <v>1</v>
      </c>
      <c r="B6" s="3"/>
      <c r="C6" s="3"/>
      <c r="D6" s="3"/>
      <c r="E6" s="4"/>
      <c r="F6" s="3"/>
      <c r="G6" s="3"/>
      <c r="H6" s="3"/>
      <c r="I6" s="3"/>
      <c r="J6" s="3"/>
      <c r="K6" s="3"/>
      <c r="L6" s="3"/>
      <c r="M6" s="5"/>
      <c r="N6" s="3"/>
      <c r="O6" s="3"/>
      <c r="P6" s="3"/>
      <c r="Q6" s="3"/>
      <c r="R6" s="3"/>
      <c r="S6" s="3"/>
      <c r="T6" s="16"/>
    </row>
    <row r="7" spans="1:42" ht="42.75" x14ac:dyDescent="0.2">
      <c r="A7" s="7">
        <v>7</v>
      </c>
      <c r="B7" s="3" t="s">
        <v>170</v>
      </c>
      <c r="C7" s="3" t="s">
        <v>171</v>
      </c>
      <c r="D7" s="3"/>
      <c r="E7" s="4" t="s">
        <v>264</v>
      </c>
      <c r="F7" s="3">
        <v>1010303088</v>
      </c>
      <c r="G7" s="3" t="s">
        <v>172</v>
      </c>
      <c r="H7" s="3" t="s">
        <v>43</v>
      </c>
      <c r="I7" s="3" t="s">
        <v>173</v>
      </c>
      <c r="J7" s="3" t="s">
        <v>18</v>
      </c>
      <c r="K7" s="3" t="s">
        <v>174</v>
      </c>
      <c r="L7" s="3">
        <v>595405050</v>
      </c>
      <c r="M7" s="5" t="s">
        <v>175</v>
      </c>
      <c r="N7" s="3" t="s">
        <v>176</v>
      </c>
      <c r="O7" s="3">
        <v>59415516</v>
      </c>
      <c r="P7" s="5" t="s">
        <v>177</v>
      </c>
      <c r="Q7" s="3" t="s">
        <v>178</v>
      </c>
      <c r="R7" s="3" t="s">
        <v>168</v>
      </c>
      <c r="S7" s="3" t="s">
        <v>170</v>
      </c>
      <c r="T7" s="16">
        <v>42742</v>
      </c>
    </row>
    <row r="8" spans="1:42" ht="42.75" x14ac:dyDescent="0.2">
      <c r="A8" s="7">
        <v>8</v>
      </c>
      <c r="B8" s="3" t="s">
        <v>244</v>
      </c>
      <c r="C8" s="3"/>
      <c r="D8" s="3"/>
      <c r="E8" s="4" t="s">
        <v>265</v>
      </c>
      <c r="F8" s="3">
        <v>4650057116</v>
      </c>
      <c r="G8" s="4" t="s">
        <v>245</v>
      </c>
      <c r="H8" s="3"/>
      <c r="I8" s="3"/>
      <c r="J8" s="3"/>
      <c r="K8" s="3" t="s">
        <v>246</v>
      </c>
      <c r="L8" s="3">
        <v>504343728</v>
      </c>
      <c r="M8" s="3"/>
      <c r="N8" s="3" t="s">
        <v>247</v>
      </c>
      <c r="O8" s="3">
        <v>504343738</v>
      </c>
      <c r="P8" s="3"/>
      <c r="Q8" s="3">
        <v>419608010012842</v>
      </c>
      <c r="R8" s="3" t="s">
        <v>46</v>
      </c>
      <c r="S8" s="3" t="s">
        <v>247</v>
      </c>
      <c r="T8" s="16">
        <v>42743</v>
      </c>
    </row>
    <row r="9" spans="1:42" ht="57" x14ac:dyDescent="0.2">
      <c r="A9" s="7">
        <v>9</v>
      </c>
      <c r="B9" s="3" t="s">
        <v>320</v>
      </c>
      <c r="C9" s="3"/>
      <c r="D9" s="3"/>
      <c r="E9" s="4" t="s">
        <v>321</v>
      </c>
      <c r="F9" s="3">
        <v>4031064028</v>
      </c>
      <c r="G9" s="4" t="s">
        <v>322</v>
      </c>
      <c r="H9" s="3"/>
      <c r="I9" s="3"/>
      <c r="J9" s="3"/>
      <c r="K9" s="4" t="s">
        <v>323</v>
      </c>
      <c r="L9" s="3">
        <v>503795591</v>
      </c>
      <c r="M9" s="3"/>
      <c r="N9" s="3" t="s">
        <v>324</v>
      </c>
      <c r="O9" s="3">
        <v>563485650</v>
      </c>
      <c r="P9" s="3"/>
      <c r="Q9" s="3" t="s">
        <v>325</v>
      </c>
      <c r="R9" s="3" t="s">
        <v>196</v>
      </c>
      <c r="S9" s="3" t="s">
        <v>326</v>
      </c>
      <c r="T9" s="16">
        <v>42744</v>
      </c>
    </row>
    <row r="10" spans="1:42" ht="42.75" x14ac:dyDescent="0.2">
      <c r="A10" s="7">
        <v>10</v>
      </c>
      <c r="B10" s="3" t="s">
        <v>475</v>
      </c>
      <c r="C10" s="3"/>
      <c r="D10" s="3"/>
      <c r="E10" s="4" t="s">
        <v>476</v>
      </c>
      <c r="F10" s="3">
        <v>1010373152</v>
      </c>
      <c r="G10" s="4" t="s">
        <v>477</v>
      </c>
      <c r="H10" s="3">
        <v>112395766</v>
      </c>
      <c r="I10" s="3"/>
      <c r="J10" s="3"/>
      <c r="K10" s="4" t="s">
        <v>478</v>
      </c>
      <c r="L10" s="3"/>
      <c r="M10" s="3"/>
      <c r="N10" s="3" t="s">
        <v>479</v>
      </c>
      <c r="O10" s="3">
        <v>590596621</v>
      </c>
      <c r="P10" s="3"/>
      <c r="Q10" s="3" t="s">
        <v>480</v>
      </c>
      <c r="R10" s="3" t="s">
        <v>85</v>
      </c>
      <c r="S10" s="3" t="s">
        <v>481</v>
      </c>
      <c r="T10" s="16">
        <v>42745</v>
      </c>
    </row>
    <row r="11" spans="1:42" ht="42.75" x14ac:dyDescent="0.2">
      <c r="A11" s="7">
        <v>11</v>
      </c>
      <c r="B11" s="4" t="s">
        <v>545</v>
      </c>
      <c r="C11" s="4" t="s">
        <v>546</v>
      </c>
      <c r="D11" s="3"/>
      <c r="E11" s="4" t="s">
        <v>547</v>
      </c>
      <c r="F11" s="3">
        <v>1011024498</v>
      </c>
      <c r="G11" s="4" t="s">
        <v>548</v>
      </c>
      <c r="H11" s="3">
        <v>112547901</v>
      </c>
      <c r="I11" s="3">
        <v>112547988</v>
      </c>
      <c r="J11" s="3"/>
      <c r="K11" s="4" t="s">
        <v>549</v>
      </c>
      <c r="L11" s="5">
        <v>55622922</v>
      </c>
      <c r="M11" s="3" t="s">
        <v>550</v>
      </c>
      <c r="N11" s="3" t="s">
        <v>551</v>
      </c>
      <c r="O11" s="3">
        <v>558807798</v>
      </c>
      <c r="P11" s="3"/>
      <c r="Q11" s="3" t="s">
        <v>552</v>
      </c>
      <c r="R11" s="3" t="s">
        <v>306</v>
      </c>
      <c r="S11" s="3" t="s">
        <v>553</v>
      </c>
      <c r="T11" s="16">
        <v>42746</v>
      </c>
    </row>
    <row r="12" spans="1:42" ht="42.75" x14ac:dyDescent="0.2">
      <c r="A12" s="7">
        <v>12</v>
      </c>
      <c r="B12" s="3" t="s">
        <v>593</v>
      </c>
      <c r="C12" s="3"/>
      <c r="D12" s="3" t="s">
        <v>594</v>
      </c>
      <c r="E12" s="4" t="s">
        <v>595</v>
      </c>
      <c r="F12" s="3">
        <v>1010264718</v>
      </c>
      <c r="G12" s="4" t="s">
        <v>596</v>
      </c>
      <c r="H12" s="3">
        <v>112385464</v>
      </c>
      <c r="I12" s="3"/>
      <c r="J12" s="3"/>
      <c r="K12" s="4" t="s">
        <v>597</v>
      </c>
      <c r="L12" s="3"/>
      <c r="M12" s="3"/>
      <c r="N12" s="3" t="s">
        <v>598</v>
      </c>
      <c r="O12" s="3">
        <v>555908534</v>
      </c>
      <c r="P12" s="3"/>
      <c r="Q12" s="3" t="s">
        <v>599</v>
      </c>
      <c r="R12" s="3" t="s">
        <v>46</v>
      </c>
      <c r="S12" s="3" t="s">
        <v>598</v>
      </c>
      <c r="T12" s="16">
        <v>42747</v>
      </c>
    </row>
    <row r="13" spans="1:42" ht="57" x14ac:dyDescent="0.2">
      <c r="A13" s="7">
        <v>13</v>
      </c>
      <c r="B13" s="3" t="s">
        <v>625</v>
      </c>
      <c r="C13" s="3" t="s">
        <v>626</v>
      </c>
      <c r="D13" s="3" t="s">
        <v>627</v>
      </c>
      <c r="E13" s="4" t="s">
        <v>628</v>
      </c>
      <c r="F13" s="3">
        <v>1010270469</v>
      </c>
      <c r="G13" s="3" t="s">
        <v>629</v>
      </c>
      <c r="H13" s="3">
        <v>114967286</v>
      </c>
      <c r="I13" s="3">
        <v>114967286</v>
      </c>
      <c r="J13" s="3"/>
      <c r="K13" s="3" t="s">
        <v>630</v>
      </c>
      <c r="L13" s="3">
        <v>505485600</v>
      </c>
      <c r="M13" s="5" t="s">
        <v>631</v>
      </c>
      <c r="N13" s="3" t="s">
        <v>632</v>
      </c>
      <c r="O13" s="3">
        <v>569326109</v>
      </c>
      <c r="P13" s="5" t="s">
        <v>631</v>
      </c>
      <c r="Q13" s="3" t="s">
        <v>633</v>
      </c>
      <c r="R13" s="3" t="s">
        <v>85</v>
      </c>
      <c r="S13" s="4" t="s">
        <v>634</v>
      </c>
      <c r="T13" s="16">
        <v>42748</v>
      </c>
    </row>
    <row r="14" spans="1:42" ht="42.75" x14ac:dyDescent="0.2">
      <c r="A14" s="7">
        <v>14</v>
      </c>
      <c r="B14" s="3" t="s">
        <v>686</v>
      </c>
      <c r="C14" s="3" t="s">
        <v>687</v>
      </c>
      <c r="D14" s="3" t="s">
        <v>688</v>
      </c>
      <c r="E14" s="4" t="s">
        <v>689</v>
      </c>
      <c r="F14" s="3">
        <v>1010314045</v>
      </c>
      <c r="G14" s="3" t="s">
        <v>690</v>
      </c>
      <c r="H14" s="3">
        <v>114666664</v>
      </c>
      <c r="I14" s="3">
        <v>114338150</v>
      </c>
      <c r="J14" s="3"/>
      <c r="K14" s="4" t="s">
        <v>691</v>
      </c>
      <c r="L14" s="3">
        <v>555080779</v>
      </c>
      <c r="M14" s="5"/>
      <c r="N14" s="3" t="s">
        <v>693</v>
      </c>
      <c r="O14" s="3">
        <v>555080779</v>
      </c>
      <c r="P14" s="5" t="s">
        <v>692</v>
      </c>
      <c r="Q14" s="3" t="s">
        <v>694</v>
      </c>
      <c r="R14" s="3" t="s">
        <v>695</v>
      </c>
      <c r="S14" s="3" t="s">
        <v>696</v>
      </c>
      <c r="T14" s="16">
        <v>42749</v>
      </c>
    </row>
    <row r="15" spans="1:42" ht="71.25" x14ac:dyDescent="0.2">
      <c r="A15" s="7">
        <v>15</v>
      </c>
      <c r="B15" s="3" t="s">
        <v>41</v>
      </c>
      <c r="C15" s="3" t="s">
        <v>18</v>
      </c>
      <c r="D15" s="3" t="s">
        <v>18</v>
      </c>
      <c r="E15" s="4" t="s">
        <v>274</v>
      </c>
      <c r="F15" s="3">
        <v>1010058731</v>
      </c>
      <c r="G15" s="4" t="s">
        <v>207</v>
      </c>
      <c r="H15" s="3">
        <v>114554346</v>
      </c>
      <c r="I15" s="3" t="s">
        <v>18</v>
      </c>
      <c r="J15" s="3" t="s">
        <v>18</v>
      </c>
      <c r="K15" s="3" t="s">
        <v>42</v>
      </c>
      <c r="L15" s="3">
        <v>503496696</v>
      </c>
      <c r="M15" s="3" t="s">
        <v>43</v>
      </c>
      <c r="N15" s="3" t="s">
        <v>44</v>
      </c>
      <c r="O15" s="3">
        <v>561290716</v>
      </c>
      <c r="P15" s="3" t="s">
        <v>18</v>
      </c>
      <c r="Q15" s="3" t="s">
        <v>45</v>
      </c>
      <c r="R15" s="3" t="s">
        <v>46</v>
      </c>
      <c r="S15" s="3" t="s">
        <v>44</v>
      </c>
      <c r="T15" s="16">
        <v>42370</v>
      </c>
    </row>
    <row r="16" spans="1:42" ht="28.5" x14ac:dyDescent="0.2">
      <c r="A16" s="7">
        <v>16</v>
      </c>
      <c r="B16" s="4" t="s">
        <v>208</v>
      </c>
      <c r="C16" s="3" t="s">
        <v>132</v>
      </c>
      <c r="D16" s="3" t="s">
        <v>51</v>
      </c>
      <c r="E16" s="3" t="s">
        <v>275</v>
      </c>
      <c r="F16" s="3">
        <v>1010006929</v>
      </c>
      <c r="G16" s="3" t="s">
        <v>52</v>
      </c>
      <c r="H16" s="3">
        <v>114950343</v>
      </c>
      <c r="I16" s="3">
        <v>114950347</v>
      </c>
      <c r="J16" s="3" t="s">
        <v>133</v>
      </c>
      <c r="K16" s="3" t="s">
        <v>134</v>
      </c>
      <c r="L16" s="3" t="s">
        <v>18</v>
      </c>
      <c r="M16" s="3" t="s">
        <v>43</v>
      </c>
      <c r="N16" s="3" t="s">
        <v>135</v>
      </c>
      <c r="O16" s="3">
        <v>500167117</v>
      </c>
      <c r="P16" s="5" t="s">
        <v>136</v>
      </c>
      <c r="Q16" s="3" t="s">
        <v>53</v>
      </c>
      <c r="R16" s="3" t="s">
        <v>46</v>
      </c>
      <c r="S16" s="4" t="s">
        <v>209</v>
      </c>
      <c r="T16" s="16">
        <v>42371</v>
      </c>
    </row>
    <row r="17" spans="1:20" ht="42.75" x14ac:dyDescent="0.2">
      <c r="A17" s="7">
        <v>17</v>
      </c>
      <c r="B17" s="3" t="s">
        <v>34</v>
      </c>
      <c r="C17" s="3" t="s">
        <v>35</v>
      </c>
      <c r="D17" s="3" t="s">
        <v>18</v>
      </c>
      <c r="E17" s="4" t="s">
        <v>276</v>
      </c>
      <c r="F17" s="3">
        <v>1010136902</v>
      </c>
      <c r="G17" s="4" t="s">
        <v>210</v>
      </c>
      <c r="H17" s="3">
        <v>114991006</v>
      </c>
      <c r="I17" s="3">
        <v>114991006</v>
      </c>
      <c r="J17" s="3" t="s">
        <v>18</v>
      </c>
      <c r="K17" s="3" t="s">
        <v>36</v>
      </c>
      <c r="L17" s="3">
        <v>548183225</v>
      </c>
      <c r="M17" s="5" t="s">
        <v>37</v>
      </c>
      <c r="N17" s="3" t="s">
        <v>38</v>
      </c>
      <c r="O17" s="3">
        <v>541745732</v>
      </c>
      <c r="P17" s="5" t="s">
        <v>39</v>
      </c>
      <c r="Q17" s="3" t="s">
        <v>40</v>
      </c>
      <c r="R17" s="4" t="s">
        <v>211</v>
      </c>
      <c r="S17" s="3" t="s">
        <v>38</v>
      </c>
      <c r="T17" s="16">
        <v>42372</v>
      </c>
    </row>
    <row r="18" spans="1:20" ht="57" x14ac:dyDescent="0.2">
      <c r="A18" s="7">
        <v>18</v>
      </c>
      <c r="B18" s="3" t="s">
        <v>55</v>
      </c>
      <c r="C18" s="3" t="s">
        <v>56</v>
      </c>
      <c r="D18" s="3" t="s">
        <v>56</v>
      </c>
      <c r="E18" s="4" t="s">
        <v>277</v>
      </c>
      <c r="F18" s="3">
        <v>101020488</v>
      </c>
      <c r="G18" s="3" t="s">
        <v>18</v>
      </c>
      <c r="H18" s="3">
        <v>114889977</v>
      </c>
      <c r="I18" s="3">
        <v>114884003</v>
      </c>
      <c r="J18" s="3" t="s">
        <v>137</v>
      </c>
      <c r="K18" s="3" t="s">
        <v>57</v>
      </c>
      <c r="L18" s="3">
        <v>500181112</v>
      </c>
      <c r="M18" s="5" t="s">
        <v>58</v>
      </c>
      <c r="N18" s="3" t="s">
        <v>59</v>
      </c>
      <c r="O18" s="3">
        <v>540647784</v>
      </c>
      <c r="P18" s="5" t="s">
        <v>138</v>
      </c>
      <c r="Q18" s="3" t="s">
        <v>60</v>
      </c>
      <c r="R18" s="3" t="s">
        <v>127</v>
      </c>
      <c r="S18" s="3" t="s">
        <v>55</v>
      </c>
      <c r="T18" s="16">
        <v>42373</v>
      </c>
    </row>
    <row r="19" spans="1:20" ht="15" x14ac:dyDescent="0.2">
      <c r="A19" s="18">
        <v>19</v>
      </c>
    </row>
    <row r="20" spans="1:20" ht="28.5" x14ac:dyDescent="0.2">
      <c r="A20" s="7">
        <v>20</v>
      </c>
      <c r="B20" s="3" t="s">
        <v>71</v>
      </c>
      <c r="C20" s="3" t="s">
        <v>61</v>
      </c>
      <c r="D20" s="3" t="s">
        <v>18</v>
      </c>
      <c r="E20" s="4" t="s">
        <v>279</v>
      </c>
      <c r="F20" s="3">
        <v>1113000888</v>
      </c>
      <c r="G20" s="3" t="s">
        <v>62</v>
      </c>
      <c r="H20" s="3">
        <v>596229400</v>
      </c>
      <c r="I20" s="3" t="s">
        <v>18</v>
      </c>
      <c r="J20" s="3" t="s">
        <v>18</v>
      </c>
      <c r="K20" s="3" t="s">
        <v>79</v>
      </c>
      <c r="L20" s="3">
        <v>596229400</v>
      </c>
      <c r="M20" s="3" t="s">
        <v>43</v>
      </c>
      <c r="N20" s="3" t="s">
        <v>63</v>
      </c>
      <c r="O20" s="3">
        <v>548640261</v>
      </c>
      <c r="P20" s="5" t="s">
        <v>139</v>
      </c>
      <c r="Q20" s="3" t="s">
        <v>140</v>
      </c>
      <c r="R20" s="3" t="s">
        <v>64</v>
      </c>
      <c r="S20" s="3" t="s">
        <v>65</v>
      </c>
      <c r="T20" s="16">
        <v>42375</v>
      </c>
    </row>
    <row r="21" spans="1:20" ht="28.5" x14ac:dyDescent="0.2">
      <c r="A21" s="7">
        <v>21</v>
      </c>
      <c r="B21" s="3" t="s">
        <v>66</v>
      </c>
      <c r="C21" s="3" t="s">
        <v>18</v>
      </c>
      <c r="D21" s="3" t="s">
        <v>18</v>
      </c>
      <c r="E21" s="4" t="s">
        <v>280</v>
      </c>
      <c r="F21" s="3">
        <v>1010232675</v>
      </c>
      <c r="G21" s="3" t="s">
        <v>141</v>
      </c>
      <c r="H21" s="3">
        <v>114052626</v>
      </c>
      <c r="I21" s="3">
        <v>114055849</v>
      </c>
      <c r="J21" s="3" t="s">
        <v>18</v>
      </c>
      <c r="K21" s="3" t="s">
        <v>67</v>
      </c>
      <c r="L21" s="3">
        <v>555610684</v>
      </c>
      <c r="M21" s="5" t="s">
        <v>142</v>
      </c>
      <c r="N21" s="3" t="s">
        <v>143</v>
      </c>
      <c r="O21" s="3">
        <v>582716319</v>
      </c>
      <c r="P21" s="5" t="s">
        <v>144</v>
      </c>
      <c r="Q21" s="3" t="s">
        <v>145</v>
      </c>
      <c r="R21" s="3" t="s">
        <v>64</v>
      </c>
      <c r="S21" s="3" t="s">
        <v>68</v>
      </c>
      <c r="T21" s="16">
        <v>42376</v>
      </c>
    </row>
    <row r="22" spans="1:20" ht="42.75" x14ac:dyDescent="0.2">
      <c r="A22" s="7">
        <v>22</v>
      </c>
      <c r="B22" s="3" t="s">
        <v>221</v>
      </c>
      <c r="C22" s="3" t="s">
        <v>222</v>
      </c>
      <c r="D22" s="3"/>
      <c r="E22" s="4" t="s">
        <v>281</v>
      </c>
      <c r="F22" s="3">
        <v>1010393142</v>
      </c>
      <c r="G22" s="3"/>
      <c r="H22" s="3"/>
      <c r="I22" s="3"/>
      <c r="J22" s="3"/>
      <c r="K22" s="3" t="s">
        <v>223</v>
      </c>
      <c r="L22" s="3">
        <v>552040128</v>
      </c>
      <c r="M22" s="3"/>
      <c r="N22" s="3" t="s">
        <v>224</v>
      </c>
      <c r="O22" s="3"/>
      <c r="P22" s="3"/>
      <c r="Q22" s="3" t="s">
        <v>225</v>
      </c>
      <c r="R22" s="3"/>
      <c r="S22" s="3"/>
      <c r="T22" s="16">
        <v>42377</v>
      </c>
    </row>
    <row r="23" spans="1:20" ht="42.75" x14ac:dyDescent="0.2">
      <c r="A23" s="7">
        <v>23</v>
      </c>
      <c r="B23" s="3" t="s">
        <v>249</v>
      </c>
      <c r="C23" s="4" t="s">
        <v>250</v>
      </c>
      <c r="D23" s="3"/>
      <c r="E23" s="4" t="s">
        <v>282</v>
      </c>
      <c r="F23" s="3">
        <v>1010143064</v>
      </c>
      <c r="G23" s="3" t="s">
        <v>251</v>
      </c>
      <c r="H23" s="4" t="s">
        <v>252</v>
      </c>
      <c r="I23" s="3">
        <v>112829856</v>
      </c>
      <c r="J23" s="3">
        <v>89851</v>
      </c>
      <c r="K23" s="3" t="s">
        <v>253</v>
      </c>
      <c r="L23" s="3">
        <v>505466314</v>
      </c>
      <c r="M23" s="3"/>
      <c r="N23" s="3" t="s">
        <v>254</v>
      </c>
      <c r="O23" s="3">
        <v>549466486</v>
      </c>
      <c r="P23" s="3"/>
      <c r="Q23" s="3"/>
      <c r="R23" s="3"/>
      <c r="S23" s="3"/>
      <c r="T23" s="16">
        <v>42378</v>
      </c>
    </row>
    <row r="24" spans="1:20" ht="28.5" x14ac:dyDescent="0.2">
      <c r="A24" s="7">
        <v>24</v>
      </c>
      <c r="B24" s="3" t="s">
        <v>114</v>
      </c>
      <c r="C24" s="3" t="s">
        <v>117</v>
      </c>
      <c r="D24" s="3" t="s">
        <v>43</v>
      </c>
      <c r="E24" s="4" t="s">
        <v>283</v>
      </c>
      <c r="F24" s="3">
        <v>1010256397</v>
      </c>
      <c r="G24" s="3" t="s">
        <v>18</v>
      </c>
      <c r="H24" s="3">
        <v>503157545</v>
      </c>
      <c r="I24" s="3" t="s">
        <v>18</v>
      </c>
      <c r="J24" s="3" t="s">
        <v>18</v>
      </c>
      <c r="K24" s="3" t="s">
        <v>115</v>
      </c>
      <c r="L24" s="3">
        <v>503157545</v>
      </c>
      <c r="M24" s="5" t="s">
        <v>18</v>
      </c>
      <c r="N24" s="3" t="s">
        <v>18</v>
      </c>
      <c r="O24" s="3" t="s">
        <v>18</v>
      </c>
      <c r="P24" s="5" t="s">
        <v>18</v>
      </c>
      <c r="Q24" s="3" t="s">
        <v>116</v>
      </c>
      <c r="R24" s="3" t="s">
        <v>113</v>
      </c>
      <c r="S24" s="4" t="s">
        <v>114</v>
      </c>
      <c r="T24" s="16">
        <v>42379</v>
      </c>
    </row>
    <row r="25" spans="1:20" ht="42.75" x14ac:dyDescent="0.2">
      <c r="A25" s="7">
        <v>25</v>
      </c>
      <c r="B25" s="3" t="s">
        <v>418</v>
      </c>
      <c r="C25" s="3"/>
      <c r="D25" s="3" t="s">
        <v>419</v>
      </c>
      <c r="E25" s="4" t="s">
        <v>420</v>
      </c>
      <c r="F25" s="3">
        <v>1010268113</v>
      </c>
      <c r="G25" s="4" t="s">
        <v>421</v>
      </c>
      <c r="H25" s="3">
        <v>112037379</v>
      </c>
      <c r="I25" s="3"/>
      <c r="J25" s="3"/>
      <c r="K25" s="3" t="s">
        <v>422</v>
      </c>
      <c r="L25" s="3">
        <v>591112561</v>
      </c>
      <c r="M25" s="5" t="s">
        <v>423</v>
      </c>
      <c r="N25" s="3" t="s">
        <v>426</v>
      </c>
      <c r="O25" s="3">
        <v>591870240</v>
      </c>
      <c r="P25" s="3"/>
      <c r="Q25" s="3" t="s">
        <v>424</v>
      </c>
      <c r="R25" s="3" t="s">
        <v>425</v>
      </c>
      <c r="S25" s="3" t="s">
        <v>426</v>
      </c>
      <c r="T25" s="16">
        <v>42380</v>
      </c>
    </row>
    <row r="26" spans="1:20" ht="57" x14ac:dyDescent="0.2">
      <c r="A26" s="7">
        <v>26</v>
      </c>
      <c r="B26" s="3" t="s">
        <v>431</v>
      </c>
      <c r="C26" s="3" t="s">
        <v>432</v>
      </c>
      <c r="D26" s="3" t="s">
        <v>433</v>
      </c>
      <c r="E26" s="4" t="s">
        <v>434</v>
      </c>
      <c r="F26" s="3">
        <v>1010997170</v>
      </c>
      <c r="G26" s="4" t="s">
        <v>435</v>
      </c>
      <c r="H26" s="3"/>
      <c r="I26" s="3"/>
      <c r="J26" s="3">
        <v>25050</v>
      </c>
      <c r="K26" s="3" t="s">
        <v>436</v>
      </c>
      <c r="L26" s="3">
        <v>555616266</v>
      </c>
      <c r="M26" s="5" t="s">
        <v>437</v>
      </c>
      <c r="N26" s="3" t="s">
        <v>438</v>
      </c>
      <c r="O26" s="3">
        <v>555698569</v>
      </c>
      <c r="P26" s="5" t="s">
        <v>439</v>
      </c>
      <c r="Q26" s="3" t="s">
        <v>440</v>
      </c>
      <c r="R26" s="3" t="s">
        <v>441</v>
      </c>
      <c r="S26" s="3" t="s">
        <v>442</v>
      </c>
      <c r="T26" s="16">
        <v>42381</v>
      </c>
    </row>
    <row r="27" spans="1:20" ht="57" x14ac:dyDescent="0.2">
      <c r="A27" s="7">
        <v>27</v>
      </c>
      <c r="B27" s="3" t="s">
        <v>443</v>
      </c>
      <c r="C27" s="3" t="s">
        <v>444</v>
      </c>
      <c r="D27" s="3"/>
      <c r="E27" s="4" t="s">
        <v>445</v>
      </c>
      <c r="F27" s="3">
        <v>1010286560</v>
      </c>
      <c r="G27" s="3" t="s">
        <v>446</v>
      </c>
      <c r="H27" s="3">
        <v>112913335</v>
      </c>
      <c r="I27" s="3">
        <v>112913335</v>
      </c>
      <c r="J27" s="3"/>
      <c r="K27" s="3" t="s">
        <v>447</v>
      </c>
      <c r="L27" s="3">
        <v>555401562</v>
      </c>
      <c r="M27" s="5" t="s">
        <v>448</v>
      </c>
      <c r="N27" s="3" t="s">
        <v>449</v>
      </c>
      <c r="O27" s="3">
        <v>542079828</v>
      </c>
      <c r="P27" s="5" t="s">
        <v>450</v>
      </c>
      <c r="Q27" s="3" t="s">
        <v>451</v>
      </c>
      <c r="R27" s="3" t="s">
        <v>102</v>
      </c>
      <c r="S27" s="3" t="s">
        <v>443</v>
      </c>
      <c r="T27" s="16">
        <v>42382</v>
      </c>
    </row>
    <row r="28" spans="1:20" ht="42.75" x14ac:dyDescent="0.2">
      <c r="A28" s="7">
        <v>28</v>
      </c>
      <c r="B28" s="3" t="s">
        <v>452</v>
      </c>
      <c r="C28" s="3" t="s">
        <v>453</v>
      </c>
      <c r="D28" s="3" t="s">
        <v>454</v>
      </c>
      <c r="E28" s="3" t="s">
        <v>455</v>
      </c>
      <c r="F28" s="3">
        <v>1010379961</v>
      </c>
      <c r="G28" s="4" t="s">
        <v>456</v>
      </c>
      <c r="H28" s="3">
        <v>114713393</v>
      </c>
      <c r="I28" s="3">
        <v>114713393</v>
      </c>
      <c r="J28" s="4" t="s">
        <v>457</v>
      </c>
      <c r="K28" s="3" t="s">
        <v>458</v>
      </c>
      <c r="L28" s="3">
        <v>508050114</v>
      </c>
      <c r="M28" s="5" t="s">
        <v>459</v>
      </c>
      <c r="N28" s="3"/>
      <c r="O28" s="3"/>
      <c r="P28" s="3"/>
      <c r="Q28" s="3" t="s">
        <v>460</v>
      </c>
      <c r="R28" s="3" t="s">
        <v>196</v>
      </c>
      <c r="S28" s="3" t="s">
        <v>461</v>
      </c>
      <c r="T28" s="16">
        <v>42383</v>
      </c>
    </row>
    <row r="29" spans="1:20" ht="57" x14ac:dyDescent="0.2">
      <c r="A29" s="7">
        <v>29</v>
      </c>
      <c r="B29" s="4" t="s">
        <v>462</v>
      </c>
      <c r="C29" s="3"/>
      <c r="D29" s="3"/>
      <c r="E29" s="4" t="s">
        <v>463</v>
      </c>
      <c r="F29" s="3">
        <v>1010014418</v>
      </c>
      <c r="G29" s="3" t="s">
        <v>464</v>
      </c>
      <c r="H29" s="3"/>
      <c r="I29" s="3"/>
      <c r="J29" s="4" t="s">
        <v>465</v>
      </c>
      <c r="K29" s="3" t="s">
        <v>466</v>
      </c>
      <c r="L29" s="3">
        <v>502859299</v>
      </c>
      <c r="M29" s="3"/>
      <c r="N29" s="3"/>
      <c r="O29" s="3"/>
      <c r="P29" s="3"/>
      <c r="Q29" s="3" t="s">
        <v>467</v>
      </c>
      <c r="R29" s="3"/>
      <c r="S29" s="3"/>
      <c r="T29" s="16">
        <v>42384</v>
      </c>
    </row>
    <row r="30" spans="1:20" ht="57" x14ac:dyDescent="0.2">
      <c r="A30" s="7">
        <v>30</v>
      </c>
      <c r="B30" s="3" t="s">
        <v>474</v>
      </c>
      <c r="C30" s="3"/>
      <c r="D30" s="3"/>
      <c r="E30" s="4" t="s">
        <v>468</v>
      </c>
      <c r="F30" s="3">
        <v>1111001983</v>
      </c>
      <c r="G30" s="4" t="s">
        <v>469</v>
      </c>
      <c r="H30" s="3"/>
      <c r="I30" s="3"/>
      <c r="J30" s="3">
        <v>55681</v>
      </c>
      <c r="K30" s="3" t="s">
        <v>470</v>
      </c>
      <c r="L30" s="3">
        <v>554445225</v>
      </c>
      <c r="M30" s="5" t="s">
        <v>471</v>
      </c>
      <c r="N30" s="3" t="s">
        <v>472</v>
      </c>
      <c r="O30" s="3">
        <v>536166426</v>
      </c>
      <c r="P30" s="3"/>
      <c r="Q30" s="3" t="s">
        <v>473</v>
      </c>
      <c r="R30" s="3" t="s">
        <v>196</v>
      </c>
      <c r="S30" s="3"/>
      <c r="T30" s="16">
        <v>42385</v>
      </c>
    </row>
    <row r="31" spans="1:20" ht="28.5" x14ac:dyDescent="0.2">
      <c r="A31" s="7">
        <v>31</v>
      </c>
      <c r="B31" s="3" t="s">
        <v>539</v>
      </c>
      <c r="C31" s="3"/>
      <c r="D31" s="3"/>
      <c r="E31" s="4" t="s">
        <v>540</v>
      </c>
      <c r="F31" s="3">
        <v>1010153624</v>
      </c>
      <c r="G31" s="4" t="s">
        <v>377</v>
      </c>
      <c r="H31" s="3">
        <v>112335711</v>
      </c>
      <c r="I31" s="3">
        <v>112335712</v>
      </c>
      <c r="J31" s="3"/>
      <c r="K31" s="4" t="s">
        <v>541</v>
      </c>
      <c r="L31" s="3">
        <v>551349807</v>
      </c>
      <c r="M31" s="3"/>
      <c r="N31" s="3" t="s">
        <v>542</v>
      </c>
      <c r="O31" s="3">
        <v>551349807</v>
      </c>
      <c r="P31" s="3"/>
      <c r="Q31" s="3" t="s">
        <v>543</v>
      </c>
      <c r="R31" s="3" t="s">
        <v>306</v>
      </c>
      <c r="S31" s="3" t="s">
        <v>544</v>
      </c>
      <c r="T31" s="16">
        <v>42386</v>
      </c>
    </row>
    <row r="32" spans="1:20" ht="28.5" x14ac:dyDescent="0.2">
      <c r="A32" s="7">
        <v>32</v>
      </c>
      <c r="B32" s="3" t="s">
        <v>554</v>
      </c>
      <c r="C32" s="3" t="s">
        <v>555</v>
      </c>
      <c r="D32" s="3" t="s">
        <v>556</v>
      </c>
      <c r="E32" s="4" t="s">
        <v>557</v>
      </c>
      <c r="F32" s="3">
        <v>1010398719</v>
      </c>
      <c r="G32" s="3" t="s">
        <v>558</v>
      </c>
      <c r="H32" s="3">
        <v>112147842</v>
      </c>
      <c r="I32" s="3">
        <v>112295494</v>
      </c>
      <c r="J32" s="3" t="s">
        <v>559</v>
      </c>
      <c r="K32" s="3" t="s">
        <v>560</v>
      </c>
      <c r="L32" s="3">
        <v>580482030</v>
      </c>
      <c r="M32" s="3"/>
      <c r="N32" s="3" t="s">
        <v>561</v>
      </c>
      <c r="O32" s="3">
        <v>550715566</v>
      </c>
      <c r="P32" s="3"/>
      <c r="Q32" s="3" t="s">
        <v>562</v>
      </c>
      <c r="R32" s="3" t="s">
        <v>85</v>
      </c>
      <c r="S32" s="3" t="s">
        <v>563</v>
      </c>
      <c r="T32" s="16">
        <v>42387</v>
      </c>
    </row>
    <row r="33" spans="1:20" ht="28.5" x14ac:dyDescent="0.2">
      <c r="A33" s="7">
        <v>33</v>
      </c>
      <c r="B33" s="3" t="s">
        <v>606</v>
      </c>
      <c r="C33" s="3" t="s">
        <v>607</v>
      </c>
      <c r="D33" s="3" t="s">
        <v>608</v>
      </c>
      <c r="E33" s="3" t="s">
        <v>609</v>
      </c>
      <c r="F33" s="3">
        <v>1010538763</v>
      </c>
      <c r="G33" s="4" t="s">
        <v>610</v>
      </c>
      <c r="H33" s="3"/>
      <c r="I33" s="3"/>
      <c r="J33" s="3"/>
      <c r="K33" s="3"/>
      <c r="L33" s="3"/>
      <c r="M33" s="5" t="s">
        <v>611</v>
      </c>
      <c r="N33" s="3" t="s">
        <v>612</v>
      </c>
      <c r="O33" s="3">
        <v>541623371</v>
      </c>
      <c r="P33" s="3"/>
      <c r="Q33" s="3" t="s">
        <v>200</v>
      </c>
      <c r="R33" s="3"/>
      <c r="S33" s="3"/>
      <c r="T33" s="16">
        <v>42388</v>
      </c>
    </row>
    <row r="34" spans="1:20" ht="57" x14ac:dyDescent="0.2">
      <c r="A34" s="7">
        <v>34</v>
      </c>
      <c r="B34" s="3" t="s">
        <v>600</v>
      </c>
      <c r="C34" s="4" t="s">
        <v>602</v>
      </c>
      <c r="D34" s="3"/>
      <c r="E34" s="4" t="s">
        <v>601</v>
      </c>
      <c r="F34" s="3">
        <v>1010337739</v>
      </c>
      <c r="G34" s="4" t="s">
        <v>603</v>
      </c>
      <c r="H34" s="3"/>
      <c r="I34" s="3"/>
      <c r="J34" s="3"/>
      <c r="K34" s="3" t="s">
        <v>604</v>
      </c>
      <c r="L34" s="3">
        <v>535835331</v>
      </c>
      <c r="M34" s="3"/>
      <c r="N34" s="3"/>
      <c r="O34" s="3"/>
      <c r="P34" s="3"/>
      <c r="Q34" s="3" t="s">
        <v>605</v>
      </c>
      <c r="R34" s="3"/>
      <c r="S34" s="3"/>
      <c r="T34" s="16">
        <v>42389</v>
      </c>
    </row>
    <row r="35" spans="1:20" ht="42.75" x14ac:dyDescent="0.2">
      <c r="A35" s="7">
        <v>35</v>
      </c>
      <c r="B35" s="3" t="s">
        <v>613</v>
      </c>
      <c r="C35" s="3"/>
      <c r="D35" s="3"/>
      <c r="E35" s="4" t="s">
        <v>614</v>
      </c>
      <c r="F35" s="3">
        <v>1010360468</v>
      </c>
      <c r="G35" s="3" t="s">
        <v>615</v>
      </c>
      <c r="H35" s="3"/>
      <c r="I35" s="3"/>
      <c r="J35" s="3"/>
      <c r="K35" s="3" t="s">
        <v>616</v>
      </c>
      <c r="L35" s="3"/>
      <c r="M35" s="3"/>
      <c r="N35" s="3" t="s">
        <v>617</v>
      </c>
      <c r="O35" s="3">
        <v>566290786</v>
      </c>
      <c r="P35" s="3"/>
      <c r="Q35" s="3" t="s">
        <v>618</v>
      </c>
      <c r="R35" s="3"/>
      <c r="S35" s="3"/>
      <c r="T35" s="16">
        <v>42390</v>
      </c>
    </row>
    <row r="36" spans="1:20" ht="28.5" x14ac:dyDescent="0.2">
      <c r="A36" s="7">
        <v>36</v>
      </c>
      <c r="B36" s="4" t="s">
        <v>619</v>
      </c>
      <c r="C36" s="3"/>
      <c r="D36" s="3"/>
      <c r="E36" s="4" t="s">
        <v>620</v>
      </c>
      <c r="F36" s="3">
        <v>1010308096</v>
      </c>
      <c r="G36" s="3" t="s">
        <v>621</v>
      </c>
      <c r="H36" s="3"/>
      <c r="I36" s="3"/>
      <c r="J36" s="3"/>
      <c r="K36" s="3" t="s">
        <v>622</v>
      </c>
      <c r="L36" s="3"/>
      <c r="M36" s="3"/>
      <c r="N36" s="3" t="s">
        <v>623</v>
      </c>
      <c r="O36" s="3">
        <v>547856498</v>
      </c>
      <c r="P36" s="3"/>
      <c r="Q36" s="3" t="s">
        <v>624</v>
      </c>
      <c r="R36" s="3"/>
      <c r="S36" s="3"/>
      <c r="T36" s="16">
        <v>42391</v>
      </c>
    </row>
    <row r="37" spans="1:20" ht="42.75" x14ac:dyDescent="0.2">
      <c r="A37" s="7">
        <v>37</v>
      </c>
      <c r="B37" s="3" t="s">
        <v>635</v>
      </c>
      <c r="C37" s="3" t="s">
        <v>636</v>
      </c>
      <c r="D37" s="3" t="s">
        <v>637</v>
      </c>
      <c r="E37" s="4" t="s">
        <v>638</v>
      </c>
      <c r="F37" s="3">
        <v>101067233</v>
      </c>
      <c r="G37" s="4" t="s">
        <v>639</v>
      </c>
      <c r="H37" s="3">
        <v>118100103</v>
      </c>
      <c r="I37" s="3">
        <v>40407</v>
      </c>
      <c r="J37" s="3"/>
      <c r="K37" s="3" t="s">
        <v>640</v>
      </c>
      <c r="L37" s="3">
        <v>509491790</v>
      </c>
      <c r="M37" s="5" t="s">
        <v>641</v>
      </c>
      <c r="N37" s="3"/>
      <c r="O37" s="3"/>
      <c r="P37" s="3"/>
      <c r="Q37" s="4" t="s">
        <v>643</v>
      </c>
      <c r="R37" s="3" t="s">
        <v>85</v>
      </c>
      <c r="S37" s="4" t="s">
        <v>642</v>
      </c>
      <c r="T37" s="16">
        <v>42392</v>
      </c>
    </row>
    <row r="38" spans="1:20" ht="28.5" x14ac:dyDescent="0.2">
      <c r="A38" s="7">
        <v>38</v>
      </c>
      <c r="B38" s="3" t="s">
        <v>662</v>
      </c>
      <c r="C38" s="3" t="s">
        <v>663</v>
      </c>
      <c r="D38" s="3"/>
      <c r="E38" s="4" t="s">
        <v>664</v>
      </c>
      <c r="F38" s="3">
        <v>1010338618</v>
      </c>
      <c r="G38" s="4" t="s">
        <v>665</v>
      </c>
      <c r="H38" s="3">
        <v>112986015</v>
      </c>
      <c r="I38" s="3">
        <v>112986015</v>
      </c>
      <c r="J38" s="3" t="s">
        <v>666</v>
      </c>
      <c r="K38" s="3" t="s">
        <v>667</v>
      </c>
      <c r="L38" s="3">
        <v>580011688</v>
      </c>
      <c r="M38" s="5" t="s">
        <v>670</v>
      </c>
      <c r="N38" s="3" t="s">
        <v>668</v>
      </c>
      <c r="O38" s="3">
        <v>597778140</v>
      </c>
      <c r="P38" s="5" t="s">
        <v>669</v>
      </c>
      <c r="Q38" s="4" t="s">
        <v>671</v>
      </c>
      <c r="R38" s="3" t="s">
        <v>672</v>
      </c>
      <c r="S38" s="4" t="s">
        <v>673</v>
      </c>
      <c r="T38" s="16">
        <v>42393</v>
      </c>
    </row>
    <row r="39" spans="1:20" ht="42.75" x14ac:dyDescent="0.2">
      <c r="A39" s="7">
        <v>39</v>
      </c>
      <c r="B39" s="3" t="s">
        <v>697</v>
      </c>
      <c r="C39" s="3"/>
      <c r="D39" s="3"/>
      <c r="E39" s="4" t="s">
        <v>698</v>
      </c>
      <c r="F39" s="3">
        <v>1010381571</v>
      </c>
      <c r="G39" s="4" t="s">
        <v>699</v>
      </c>
      <c r="H39" s="3">
        <v>112462806</v>
      </c>
      <c r="I39" s="3">
        <v>112462806</v>
      </c>
      <c r="J39" s="3"/>
      <c r="K39" s="3" t="s">
        <v>700</v>
      </c>
      <c r="L39" s="3">
        <v>554335256</v>
      </c>
      <c r="M39" s="5"/>
      <c r="N39" s="3" t="s">
        <v>701</v>
      </c>
      <c r="O39" s="3">
        <v>5556626598</v>
      </c>
      <c r="P39" s="3"/>
      <c r="Q39" s="4" t="s">
        <v>652</v>
      </c>
      <c r="R39" s="3"/>
      <c r="S39" s="4"/>
      <c r="T39" s="16">
        <v>42394</v>
      </c>
    </row>
    <row r="40" spans="1:20" ht="42.75" x14ac:dyDescent="0.2">
      <c r="A40" s="7">
        <v>40</v>
      </c>
      <c r="B40" s="3" t="s">
        <v>702</v>
      </c>
      <c r="C40" s="3" t="s">
        <v>703</v>
      </c>
      <c r="D40" s="3" t="s">
        <v>704</v>
      </c>
      <c r="E40" s="4" t="s">
        <v>705</v>
      </c>
      <c r="F40" s="3">
        <v>1010386246</v>
      </c>
      <c r="G40" s="4" t="s">
        <v>706</v>
      </c>
      <c r="H40" s="3">
        <v>920003979</v>
      </c>
      <c r="I40" s="4" t="s">
        <v>707</v>
      </c>
      <c r="J40" s="4" t="s">
        <v>708</v>
      </c>
      <c r="K40" s="3" t="s">
        <v>709</v>
      </c>
      <c r="L40" s="3">
        <v>505448543</v>
      </c>
      <c r="M40" s="5" t="s">
        <v>710</v>
      </c>
      <c r="N40" s="3" t="s">
        <v>711</v>
      </c>
      <c r="O40" s="3">
        <v>557833322</v>
      </c>
      <c r="P40" s="5" t="s">
        <v>712</v>
      </c>
      <c r="Q40" s="4" t="s">
        <v>713</v>
      </c>
      <c r="R40" s="3" t="s">
        <v>491</v>
      </c>
      <c r="S40" s="4"/>
      <c r="T40" s="16">
        <v>42395</v>
      </c>
    </row>
    <row r="41" spans="1:20" ht="71.25" x14ac:dyDescent="0.2">
      <c r="A41" s="7">
        <v>41</v>
      </c>
      <c r="B41" s="3" t="s">
        <v>17</v>
      </c>
      <c r="C41" s="4" t="s">
        <v>255</v>
      </c>
      <c r="D41" s="3" t="s">
        <v>18</v>
      </c>
      <c r="E41" s="4" t="s">
        <v>256</v>
      </c>
      <c r="F41" s="3">
        <v>1010155610</v>
      </c>
      <c r="G41" s="3" t="s">
        <v>18</v>
      </c>
      <c r="H41" s="3">
        <v>114038765</v>
      </c>
      <c r="I41" s="3">
        <v>114055113</v>
      </c>
      <c r="J41" s="3">
        <v>40531</v>
      </c>
      <c r="K41" s="3" t="s">
        <v>19</v>
      </c>
      <c r="L41" s="3">
        <v>566232328</v>
      </c>
      <c r="M41" s="5" t="s">
        <v>20</v>
      </c>
      <c r="N41" s="3" t="s">
        <v>21</v>
      </c>
      <c r="O41" s="3">
        <v>502293011</v>
      </c>
      <c r="P41" s="5" t="s">
        <v>22</v>
      </c>
      <c r="Q41" s="3" t="s">
        <v>23</v>
      </c>
      <c r="R41" s="4" t="s">
        <v>286</v>
      </c>
      <c r="S41" s="4" t="s">
        <v>24</v>
      </c>
    </row>
    <row r="42" spans="1:20" ht="57" x14ac:dyDescent="0.2">
      <c r="A42" s="7">
        <v>42</v>
      </c>
      <c r="B42" s="3" t="s">
        <v>201</v>
      </c>
      <c r="C42" s="3" t="s">
        <v>220</v>
      </c>
      <c r="D42" s="3" t="s">
        <v>219</v>
      </c>
      <c r="E42" s="4" t="s">
        <v>267</v>
      </c>
      <c r="F42" s="3">
        <v>1010182816</v>
      </c>
      <c r="G42" s="4" t="s">
        <v>202</v>
      </c>
      <c r="H42" s="3">
        <v>114567080</v>
      </c>
      <c r="I42" s="3">
        <v>112693917</v>
      </c>
      <c r="J42" s="3" t="s">
        <v>203</v>
      </c>
      <c r="K42" s="3" t="s">
        <v>204</v>
      </c>
      <c r="L42" s="3"/>
      <c r="M42" s="3"/>
      <c r="N42" s="3" t="s">
        <v>205</v>
      </c>
      <c r="O42" s="3">
        <v>538925440</v>
      </c>
      <c r="P42" s="3"/>
      <c r="Q42" s="3" t="s">
        <v>206</v>
      </c>
      <c r="R42" s="3"/>
      <c r="S42" s="3"/>
    </row>
    <row r="43" spans="1:20" ht="15" x14ac:dyDescent="0.2">
      <c r="A43" s="7">
        <v>43</v>
      </c>
      <c r="B43" s="3" t="s">
        <v>197</v>
      </c>
      <c r="C43" s="3"/>
      <c r="D43" s="3" t="s">
        <v>198</v>
      </c>
      <c r="E43" s="4" t="s">
        <v>257</v>
      </c>
      <c r="F43" s="3">
        <v>1010250110</v>
      </c>
      <c r="G43" s="3"/>
      <c r="H43" s="3">
        <v>114776533</v>
      </c>
      <c r="I43" s="3">
        <v>11241931</v>
      </c>
      <c r="J43" s="3"/>
      <c r="K43" s="3" t="s">
        <v>199</v>
      </c>
      <c r="L43" s="3">
        <v>535155864</v>
      </c>
      <c r="M43" s="3"/>
      <c r="N43" s="3"/>
      <c r="O43" s="3"/>
      <c r="P43" s="3"/>
      <c r="Q43" s="3" t="s">
        <v>200</v>
      </c>
      <c r="R43" s="3"/>
      <c r="S43" s="3"/>
    </row>
    <row r="44" spans="1:20" ht="28.5" x14ac:dyDescent="0.2">
      <c r="A44" s="7">
        <v>44</v>
      </c>
      <c r="B44" s="3" t="s">
        <v>235</v>
      </c>
      <c r="C44" s="3" t="s">
        <v>236</v>
      </c>
      <c r="D44" s="3" t="s">
        <v>237</v>
      </c>
      <c r="E44" s="3" t="s">
        <v>258</v>
      </c>
      <c r="F44" s="3">
        <v>101004706</v>
      </c>
      <c r="G44" s="4" t="s">
        <v>238</v>
      </c>
      <c r="H44" s="3">
        <v>114725111</v>
      </c>
      <c r="I44" s="3">
        <v>114725111</v>
      </c>
      <c r="J44" s="4" t="s">
        <v>239</v>
      </c>
      <c r="K44" s="3" t="s">
        <v>240</v>
      </c>
      <c r="L44" s="3">
        <v>555011015</v>
      </c>
      <c r="M44" s="5" t="s">
        <v>241</v>
      </c>
      <c r="N44" s="3" t="s">
        <v>242</v>
      </c>
      <c r="O44" s="3">
        <v>530900447</v>
      </c>
      <c r="P44" s="5" t="s">
        <v>243</v>
      </c>
      <c r="Q44" s="3"/>
      <c r="R44" s="3"/>
      <c r="S44" s="3"/>
    </row>
    <row r="45" spans="1:20" ht="42.75" x14ac:dyDescent="0.2">
      <c r="A45" s="7">
        <v>45</v>
      </c>
      <c r="B45" s="3" t="s">
        <v>339</v>
      </c>
      <c r="C45" s="3" t="s">
        <v>340</v>
      </c>
      <c r="D45" s="3" t="s">
        <v>341</v>
      </c>
      <c r="E45" s="3" t="s">
        <v>342</v>
      </c>
      <c r="F45" s="3">
        <v>1010342754</v>
      </c>
      <c r="G45" s="4" t="s">
        <v>343</v>
      </c>
      <c r="H45" s="3">
        <v>114776622</v>
      </c>
      <c r="I45" s="3">
        <v>114771185</v>
      </c>
      <c r="J45" s="3">
        <v>220970</v>
      </c>
      <c r="K45" s="3" t="s">
        <v>344</v>
      </c>
      <c r="L45" s="3">
        <v>583177128</v>
      </c>
      <c r="M45" s="5" t="s">
        <v>345</v>
      </c>
      <c r="N45" s="3" t="s">
        <v>346</v>
      </c>
      <c r="O45" s="3">
        <v>557784474</v>
      </c>
      <c r="P45" s="5" t="s">
        <v>347</v>
      </c>
      <c r="Q45" s="3" t="s">
        <v>348</v>
      </c>
      <c r="R45" s="4" t="s">
        <v>349</v>
      </c>
      <c r="S45" s="3" t="s">
        <v>350</v>
      </c>
    </row>
    <row r="46" spans="1:20" ht="28.5" x14ac:dyDescent="0.2">
      <c r="A46" s="7">
        <v>46</v>
      </c>
      <c r="B46" s="3" t="s">
        <v>362</v>
      </c>
      <c r="C46" s="3"/>
      <c r="D46" s="3"/>
      <c r="E46" s="4" t="s">
        <v>363</v>
      </c>
      <c r="F46" s="3">
        <v>1010062508</v>
      </c>
      <c r="G46" s="3" t="s">
        <v>364</v>
      </c>
      <c r="H46" s="4" t="s">
        <v>365</v>
      </c>
      <c r="I46" s="3">
        <v>114051658</v>
      </c>
      <c r="J46" s="3"/>
      <c r="K46" s="3" t="s">
        <v>366</v>
      </c>
      <c r="L46" s="3"/>
      <c r="M46" s="5" t="s">
        <v>367</v>
      </c>
      <c r="N46" s="3"/>
      <c r="O46" s="3"/>
      <c r="P46" s="3"/>
      <c r="Q46" s="3" t="s">
        <v>368</v>
      </c>
      <c r="R46" s="3"/>
      <c r="S46" s="3"/>
    </row>
    <row r="47" spans="1:20" ht="71.25" x14ac:dyDescent="0.2">
      <c r="A47" s="7">
        <v>47</v>
      </c>
      <c r="B47" s="3" t="s">
        <v>398</v>
      </c>
      <c r="C47" s="3" t="s">
        <v>399</v>
      </c>
      <c r="D47" s="3" t="s">
        <v>400</v>
      </c>
      <c r="E47" s="4" t="s">
        <v>401</v>
      </c>
      <c r="F47" s="3">
        <v>1010070308</v>
      </c>
      <c r="G47" s="3" t="s">
        <v>251</v>
      </c>
      <c r="H47" s="3">
        <v>1144783088</v>
      </c>
      <c r="I47" s="3">
        <v>114780591</v>
      </c>
      <c r="J47" s="4" t="s">
        <v>402</v>
      </c>
      <c r="K47" s="10" t="s">
        <v>405</v>
      </c>
      <c r="L47" s="3">
        <v>538001900</v>
      </c>
      <c r="M47" s="5" t="s">
        <v>403</v>
      </c>
      <c r="N47" s="3" t="s">
        <v>404</v>
      </c>
      <c r="O47" s="3">
        <v>538001900</v>
      </c>
      <c r="P47" s="5" t="s">
        <v>403</v>
      </c>
      <c r="Q47" s="3" t="s">
        <v>406</v>
      </c>
      <c r="R47" s="3" t="s">
        <v>381</v>
      </c>
      <c r="S47" s="3"/>
    </row>
    <row r="48" spans="1:20" ht="57" x14ac:dyDescent="0.2">
      <c r="A48" s="7">
        <v>48</v>
      </c>
      <c r="B48" s="3" t="s">
        <v>564</v>
      </c>
      <c r="C48" s="3" t="s">
        <v>565</v>
      </c>
      <c r="D48" s="3" t="s">
        <v>566</v>
      </c>
      <c r="E48" s="4" t="s">
        <v>567</v>
      </c>
      <c r="F48" s="3">
        <v>1010284380</v>
      </c>
      <c r="G48" s="3" t="s">
        <v>568</v>
      </c>
      <c r="H48" s="4" t="s">
        <v>569</v>
      </c>
      <c r="I48" s="3">
        <v>114010607</v>
      </c>
      <c r="J48" s="3">
        <v>25398</v>
      </c>
      <c r="K48" s="3" t="s">
        <v>570</v>
      </c>
      <c r="L48" s="3"/>
      <c r="M48" s="3"/>
      <c r="N48" s="3" t="s">
        <v>571</v>
      </c>
      <c r="O48" s="3">
        <v>592261257</v>
      </c>
      <c r="P48" s="5" t="s">
        <v>572</v>
      </c>
      <c r="Q48" s="3" t="s">
        <v>573</v>
      </c>
      <c r="R48" s="3" t="s">
        <v>85</v>
      </c>
      <c r="S48" s="4" t="s">
        <v>574</v>
      </c>
    </row>
    <row r="49" spans="1:19" ht="57" x14ac:dyDescent="0.2">
      <c r="A49" s="7">
        <v>49</v>
      </c>
      <c r="B49" s="3" t="s">
        <v>644</v>
      </c>
      <c r="C49" s="3"/>
      <c r="D49" s="3" t="s">
        <v>645</v>
      </c>
      <c r="E49" s="4" t="s">
        <v>646</v>
      </c>
      <c r="F49" s="3">
        <v>101054440</v>
      </c>
      <c r="G49" s="3" t="s">
        <v>647</v>
      </c>
      <c r="H49" s="4" t="s">
        <v>648</v>
      </c>
      <c r="I49" s="3">
        <v>114776079</v>
      </c>
      <c r="J49" s="3"/>
      <c r="K49" s="3"/>
      <c r="L49" s="3"/>
      <c r="M49" s="5" t="s">
        <v>649</v>
      </c>
      <c r="N49" s="3" t="s">
        <v>650</v>
      </c>
      <c r="O49" s="3">
        <v>566704347</v>
      </c>
      <c r="P49" s="5" t="s">
        <v>651</v>
      </c>
      <c r="Q49" s="3" t="s">
        <v>652</v>
      </c>
      <c r="R49" s="3"/>
      <c r="S49" s="3"/>
    </row>
    <row r="50" spans="1:19" ht="71.25" x14ac:dyDescent="0.2">
      <c r="A50" s="7">
        <v>50</v>
      </c>
      <c r="B50" s="4" t="s">
        <v>158</v>
      </c>
      <c r="C50" s="3" t="s">
        <v>159</v>
      </c>
      <c r="D50" s="3" t="s">
        <v>160</v>
      </c>
      <c r="E50" s="4" t="s">
        <v>284</v>
      </c>
      <c r="F50" s="3">
        <v>1010326084</v>
      </c>
      <c r="G50" s="4" t="s">
        <v>161</v>
      </c>
      <c r="H50" s="3">
        <v>112329696</v>
      </c>
      <c r="I50" s="3" t="s">
        <v>162</v>
      </c>
      <c r="J50" s="3">
        <v>26065</v>
      </c>
      <c r="K50" s="4" t="s">
        <v>163</v>
      </c>
      <c r="L50" s="4" t="s">
        <v>164</v>
      </c>
      <c r="M50" s="5" t="s">
        <v>165</v>
      </c>
      <c r="N50" s="3" t="s">
        <v>166</v>
      </c>
      <c r="O50" s="3" t="s">
        <v>18</v>
      </c>
      <c r="P50" s="5" t="s">
        <v>165</v>
      </c>
      <c r="Q50" s="3" t="s">
        <v>167</v>
      </c>
      <c r="R50" s="3" t="s">
        <v>168</v>
      </c>
      <c r="S50" s="4" t="s">
        <v>169</v>
      </c>
    </row>
    <row r="51" spans="1:19" ht="57" x14ac:dyDescent="0.2">
      <c r="A51" s="7">
        <v>51</v>
      </c>
      <c r="B51" s="4" t="s">
        <v>98</v>
      </c>
      <c r="C51" s="3" t="s">
        <v>99</v>
      </c>
      <c r="D51" s="3" t="s">
        <v>98</v>
      </c>
      <c r="E51" s="4" t="s">
        <v>285</v>
      </c>
      <c r="F51" s="3">
        <v>1010309016</v>
      </c>
      <c r="G51" s="4" t="s">
        <v>152</v>
      </c>
      <c r="H51" s="3">
        <v>112055881</v>
      </c>
      <c r="I51" s="3">
        <v>112055883</v>
      </c>
      <c r="J51" s="4" t="s">
        <v>153</v>
      </c>
      <c r="K51" s="3" t="s">
        <v>100</v>
      </c>
      <c r="L51" s="3">
        <v>504215531</v>
      </c>
      <c r="M51" s="5" t="s">
        <v>103</v>
      </c>
      <c r="N51" s="3" t="s">
        <v>101</v>
      </c>
      <c r="O51" s="3">
        <v>564185000</v>
      </c>
      <c r="P51" s="5" t="s">
        <v>154</v>
      </c>
      <c r="Q51" s="3" t="s">
        <v>104</v>
      </c>
      <c r="R51" s="3" t="s">
        <v>102</v>
      </c>
      <c r="S51" s="3" t="s">
        <v>98</v>
      </c>
    </row>
    <row r="52" spans="1:19" ht="57" x14ac:dyDescent="0.2">
      <c r="A52" s="7">
        <v>52</v>
      </c>
      <c r="B52" s="4" t="s">
        <v>308</v>
      </c>
      <c r="C52" s="3" t="s">
        <v>309</v>
      </c>
      <c r="D52" s="3" t="s">
        <v>310</v>
      </c>
      <c r="E52" s="3" t="s">
        <v>311</v>
      </c>
      <c r="F52" s="3">
        <v>1010234548</v>
      </c>
      <c r="G52" s="3" t="s">
        <v>312</v>
      </c>
      <c r="H52" s="3">
        <v>114011116</v>
      </c>
      <c r="I52" s="3">
        <v>114090942</v>
      </c>
      <c r="J52" s="4" t="s">
        <v>313</v>
      </c>
      <c r="K52" s="3" t="s">
        <v>314</v>
      </c>
      <c r="L52" s="3">
        <v>554488876</v>
      </c>
      <c r="M52" s="3"/>
      <c r="N52" s="3" t="s">
        <v>315</v>
      </c>
      <c r="O52" s="3">
        <v>546666250</v>
      </c>
      <c r="P52" s="5" t="s">
        <v>316</v>
      </c>
      <c r="Q52" s="3" t="s">
        <v>317</v>
      </c>
      <c r="R52" s="3" t="s">
        <v>318</v>
      </c>
      <c r="S52" s="3" t="s">
        <v>319</v>
      </c>
    </row>
    <row r="53" spans="1:19" ht="85.5" x14ac:dyDescent="0.2">
      <c r="A53" s="7">
        <v>53</v>
      </c>
      <c r="B53" s="4" t="s">
        <v>327</v>
      </c>
      <c r="C53" s="4" t="s">
        <v>328</v>
      </c>
      <c r="D53" s="4" t="s">
        <v>329</v>
      </c>
      <c r="E53" s="4" t="s">
        <v>330</v>
      </c>
      <c r="F53" s="3">
        <v>1010098069</v>
      </c>
      <c r="G53" s="4" t="s">
        <v>331</v>
      </c>
      <c r="H53" s="3">
        <v>112171010</v>
      </c>
      <c r="I53" s="3">
        <v>114623359</v>
      </c>
      <c r="J53" s="3"/>
      <c r="K53" s="3" t="s">
        <v>332</v>
      </c>
      <c r="L53" s="3">
        <v>505470261</v>
      </c>
      <c r="M53" s="5" t="s">
        <v>333</v>
      </c>
      <c r="N53" s="3" t="s">
        <v>334</v>
      </c>
      <c r="O53" s="3">
        <v>506483786</v>
      </c>
      <c r="P53" s="5" t="s">
        <v>335</v>
      </c>
      <c r="Q53" s="3" t="s">
        <v>336</v>
      </c>
      <c r="R53" s="3" t="s">
        <v>337</v>
      </c>
      <c r="S53" s="4" t="s">
        <v>338</v>
      </c>
    </row>
    <row r="54" spans="1:19" ht="57" x14ac:dyDescent="0.2">
      <c r="A54" s="7">
        <v>54</v>
      </c>
      <c r="B54" s="4" t="s">
        <v>351</v>
      </c>
      <c r="C54" s="3" t="s">
        <v>352</v>
      </c>
      <c r="D54" s="3" t="s">
        <v>353</v>
      </c>
      <c r="E54" s="4" t="s">
        <v>354</v>
      </c>
      <c r="F54" s="3">
        <v>1010368088</v>
      </c>
      <c r="G54" s="3" t="s">
        <v>355</v>
      </c>
      <c r="H54" s="3">
        <v>114624477</v>
      </c>
      <c r="I54" s="3">
        <v>114612444</v>
      </c>
      <c r="J54" s="3">
        <v>4843</v>
      </c>
      <c r="K54" s="3" t="s">
        <v>356</v>
      </c>
      <c r="L54" s="3">
        <v>558537789</v>
      </c>
      <c r="M54" s="5" t="s">
        <v>357</v>
      </c>
      <c r="N54" s="3" t="s">
        <v>358</v>
      </c>
      <c r="O54" s="3">
        <v>509666563</v>
      </c>
      <c r="P54" s="5" t="s">
        <v>359</v>
      </c>
      <c r="Q54" s="3" t="s">
        <v>360</v>
      </c>
      <c r="R54" s="3" t="s">
        <v>361</v>
      </c>
      <c r="S54" s="3" t="s">
        <v>352</v>
      </c>
    </row>
    <row r="55" spans="1:19" ht="71.25" x14ac:dyDescent="0.2">
      <c r="A55" s="7">
        <v>55</v>
      </c>
      <c r="B55" s="4" t="s">
        <v>407</v>
      </c>
      <c r="C55" s="3" t="s">
        <v>408</v>
      </c>
      <c r="D55" s="3" t="s">
        <v>409</v>
      </c>
      <c r="E55" s="4" t="s">
        <v>410</v>
      </c>
      <c r="F55" s="3">
        <v>1010042289</v>
      </c>
      <c r="G55" s="3" t="s">
        <v>411</v>
      </c>
      <c r="H55" s="3">
        <v>114192112</v>
      </c>
      <c r="I55" s="3">
        <v>114193100</v>
      </c>
      <c r="J55" s="3">
        <v>2002</v>
      </c>
      <c r="K55" s="3" t="s">
        <v>412</v>
      </c>
      <c r="L55" s="4" t="s">
        <v>413</v>
      </c>
      <c r="M55" s="4" t="s">
        <v>414</v>
      </c>
      <c r="N55" s="3" t="s">
        <v>415</v>
      </c>
      <c r="O55" s="3">
        <v>568361222</v>
      </c>
      <c r="P55" s="5" t="s">
        <v>416</v>
      </c>
      <c r="Q55" s="3" t="s">
        <v>417</v>
      </c>
      <c r="R55" s="3" t="s">
        <v>85</v>
      </c>
      <c r="S55" s="3" t="s">
        <v>408</v>
      </c>
    </row>
    <row r="56" spans="1:19" ht="42.75" x14ac:dyDescent="0.2">
      <c r="A56" s="7">
        <v>56</v>
      </c>
      <c r="B56" s="4" t="s">
        <v>483</v>
      </c>
      <c r="C56" s="3"/>
      <c r="D56" s="3" t="s">
        <v>482</v>
      </c>
      <c r="E56" s="4" t="s">
        <v>484</v>
      </c>
      <c r="F56" s="3">
        <v>4030240043</v>
      </c>
      <c r="G56" s="3" t="s">
        <v>485</v>
      </c>
      <c r="H56" s="3">
        <v>126523907</v>
      </c>
      <c r="I56" s="3">
        <v>126517325</v>
      </c>
      <c r="J56" s="3">
        <v>54117</v>
      </c>
      <c r="K56" s="3" t="s">
        <v>486</v>
      </c>
      <c r="L56" s="3">
        <v>540694172</v>
      </c>
      <c r="M56" s="5" t="s">
        <v>487</v>
      </c>
      <c r="N56" s="3" t="s">
        <v>488</v>
      </c>
      <c r="O56" s="3">
        <v>569969831</v>
      </c>
      <c r="P56" s="5" t="s">
        <v>489</v>
      </c>
      <c r="Q56" s="3" t="s">
        <v>490</v>
      </c>
      <c r="R56" s="3" t="s">
        <v>491</v>
      </c>
      <c r="S56" s="3" t="s">
        <v>492</v>
      </c>
    </row>
    <row r="57" spans="1:19" ht="28.5" x14ac:dyDescent="0.2">
      <c r="A57" s="7">
        <v>57</v>
      </c>
      <c r="B57" s="4" t="s">
        <v>505</v>
      </c>
      <c r="C57" s="3" t="s">
        <v>506</v>
      </c>
      <c r="D57" s="3" t="s">
        <v>507</v>
      </c>
      <c r="E57" s="3" t="s">
        <v>508</v>
      </c>
      <c r="F57" s="3">
        <v>1010395333</v>
      </c>
      <c r="G57" s="3" t="s">
        <v>509</v>
      </c>
      <c r="H57" s="4" t="s">
        <v>510</v>
      </c>
      <c r="I57" s="3"/>
      <c r="J57" s="4" t="s">
        <v>511</v>
      </c>
      <c r="K57" s="3" t="s">
        <v>512</v>
      </c>
      <c r="L57" s="3">
        <v>554144177</v>
      </c>
      <c r="M57" s="5" t="s">
        <v>513</v>
      </c>
      <c r="N57" s="3" t="s">
        <v>514</v>
      </c>
      <c r="O57" s="3">
        <v>555778975</v>
      </c>
      <c r="P57" s="5" t="s">
        <v>515</v>
      </c>
      <c r="Q57" s="3" t="s">
        <v>516</v>
      </c>
      <c r="R57" s="3" t="s">
        <v>517</v>
      </c>
      <c r="S57" s="3" t="s">
        <v>512</v>
      </c>
    </row>
    <row r="58" spans="1:19" ht="57" x14ac:dyDescent="0.2">
      <c r="A58" s="7">
        <v>58</v>
      </c>
      <c r="B58" s="4" t="s">
        <v>518</v>
      </c>
      <c r="C58" s="3" t="s">
        <v>519</v>
      </c>
      <c r="D58" s="3" t="s">
        <v>520</v>
      </c>
      <c r="E58" s="4" t="s">
        <v>521</v>
      </c>
      <c r="F58" s="3">
        <v>1010163045</v>
      </c>
      <c r="G58" s="4" t="s">
        <v>522</v>
      </c>
      <c r="H58" s="3">
        <v>112439641</v>
      </c>
      <c r="I58" s="3">
        <v>112439675</v>
      </c>
      <c r="J58" s="3">
        <v>13244</v>
      </c>
      <c r="K58" s="4" t="s">
        <v>523</v>
      </c>
      <c r="L58" s="3">
        <v>540828472</v>
      </c>
      <c r="M58" s="5" t="s">
        <v>524</v>
      </c>
      <c r="N58" s="4" t="s">
        <v>525</v>
      </c>
      <c r="O58" s="3">
        <v>557780216</v>
      </c>
      <c r="P58" s="5" t="s">
        <v>526</v>
      </c>
      <c r="Q58" s="3" t="s">
        <v>527</v>
      </c>
      <c r="R58" s="3" t="s">
        <v>381</v>
      </c>
      <c r="S58" s="3" t="s">
        <v>519</v>
      </c>
    </row>
    <row r="59" spans="1:19" ht="57" x14ac:dyDescent="0.2">
      <c r="A59" s="7">
        <v>59</v>
      </c>
      <c r="B59" s="4" t="s">
        <v>528</v>
      </c>
      <c r="C59" s="3" t="s">
        <v>529</v>
      </c>
      <c r="D59" s="3" t="s">
        <v>530</v>
      </c>
      <c r="E59" s="4" t="s">
        <v>531</v>
      </c>
      <c r="F59" s="3">
        <v>2050003048</v>
      </c>
      <c r="G59" s="4" t="s">
        <v>532</v>
      </c>
      <c r="H59" s="3">
        <v>112060555</v>
      </c>
      <c r="I59" s="3">
        <v>112062333</v>
      </c>
      <c r="J59" s="3">
        <v>57792</v>
      </c>
      <c r="K59" s="3" t="s">
        <v>533</v>
      </c>
      <c r="L59" s="3">
        <v>505829909</v>
      </c>
      <c r="M59" s="5" t="s">
        <v>534</v>
      </c>
      <c r="N59" s="3" t="s">
        <v>535</v>
      </c>
      <c r="O59" s="3">
        <v>556030154</v>
      </c>
      <c r="P59" s="5" t="s">
        <v>536</v>
      </c>
      <c r="Q59" s="3" t="s">
        <v>537</v>
      </c>
      <c r="R59" s="3" t="s">
        <v>538</v>
      </c>
      <c r="S59" s="3" t="s">
        <v>528</v>
      </c>
    </row>
    <row r="60" spans="1:19" ht="42.75" x14ac:dyDescent="0.2">
      <c r="A60" s="7">
        <v>60</v>
      </c>
      <c r="B60" s="4" t="s">
        <v>575</v>
      </c>
      <c r="C60" s="4" t="s">
        <v>576</v>
      </c>
      <c r="D60" s="4" t="s">
        <v>577</v>
      </c>
      <c r="E60" s="4" t="s">
        <v>578</v>
      </c>
      <c r="F60" s="3">
        <v>1010144919</v>
      </c>
      <c r="G60" s="3" t="s">
        <v>579</v>
      </c>
      <c r="H60" s="3">
        <v>1122761900</v>
      </c>
      <c r="I60" s="3">
        <v>112761955</v>
      </c>
      <c r="J60" s="4" t="s">
        <v>580</v>
      </c>
      <c r="K60" s="3" t="s">
        <v>581</v>
      </c>
      <c r="L60" s="3">
        <v>590809079</v>
      </c>
      <c r="M60" s="5" t="s">
        <v>582</v>
      </c>
      <c r="N60" s="3" t="s">
        <v>584</v>
      </c>
      <c r="O60" s="4" t="s">
        <v>583</v>
      </c>
      <c r="P60" s="5" t="s">
        <v>585</v>
      </c>
      <c r="Q60" s="3" t="s">
        <v>586</v>
      </c>
      <c r="R60" s="3" t="s">
        <v>102</v>
      </c>
      <c r="S60" s="4" t="s">
        <v>576</v>
      </c>
    </row>
    <row r="61" spans="1:19" ht="71.25" x14ac:dyDescent="0.2">
      <c r="A61" s="7">
        <v>61</v>
      </c>
      <c r="B61" s="4" t="s">
        <v>587</v>
      </c>
      <c r="C61" s="3" t="s">
        <v>588</v>
      </c>
      <c r="D61" s="3"/>
      <c r="E61" s="4" t="s">
        <v>589</v>
      </c>
      <c r="F61" s="3">
        <v>1010700847</v>
      </c>
      <c r="G61" s="3" t="s">
        <v>590</v>
      </c>
      <c r="H61" s="3">
        <v>112264211</v>
      </c>
      <c r="I61" s="3"/>
      <c r="J61" s="3">
        <v>11575</v>
      </c>
      <c r="K61" s="4" t="s">
        <v>591</v>
      </c>
      <c r="L61" s="3"/>
      <c r="M61" s="3"/>
      <c r="N61" s="3" t="s">
        <v>592</v>
      </c>
      <c r="O61" s="3">
        <v>594790992</v>
      </c>
      <c r="P61" s="3"/>
      <c r="Q61" s="3"/>
      <c r="R61" s="3"/>
      <c r="S61" s="3"/>
    </row>
    <row r="62" spans="1:19" ht="57" x14ac:dyDescent="0.2">
      <c r="A62" s="7">
        <v>62</v>
      </c>
      <c r="B62" s="4" t="s">
        <v>674</v>
      </c>
      <c r="C62" s="3" t="s">
        <v>675</v>
      </c>
      <c r="D62" s="3" t="s">
        <v>676</v>
      </c>
      <c r="E62" s="4" t="s">
        <v>677</v>
      </c>
      <c r="F62" s="3">
        <v>1010147674</v>
      </c>
      <c r="G62" s="4" t="s">
        <v>678</v>
      </c>
      <c r="H62" s="3">
        <v>114058373</v>
      </c>
      <c r="I62" s="3">
        <v>112761715</v>
      </c>
      <c r="J62" s="4" t="s">
        <v>679</v>
      </c>
      <c r="K62" s="3" t="s">
        <v>680</v>
      </c>
      <c r="L62" s="3">
        <v>534444000</v>
      </c>
      <c r="M62" s="3"/>
      <c r="N62" s="3" t="s">
        <v>681</v>
      </c>
      <c r="O62" s="3">
        <v>535050309</v>
      </c>
      <c r="P62" s="5" t="s">
        <v>682</v>
      </c>
      <c r="Q62" s="3" t="s">
        <v>683</v>
      </c>
      <c r="R62" s="4" t="s">
        <v>684</v>
      </c>
      <c r="S62" s="3" t="s">
        <v>685</v>
      </c>
    </row>
    <row r="63" spans="1:19" ht="128.25" x14ac:dyDescent="0.2">
      <c r="A63" s="7">
        <v>63</v>
      </c>
      <c r="B63" s="4" t="s">
        <v>719</v>
      </c>
      <c r="C63" s="3" t="s">
        <v>720</v>
      </c>
      <c r="D63" s="3" t="s">
        <v>721</v>
      </c>
      <c r="E63" s="4" t="s">
        <v>722</v>
      </c>
      <c r="F63" s="4" t="s">
        <v>724</v>
      </c>
      <c r="G63" s="4" t="s">
        <v>723</v>
      </c>
      <c r="H63" s="3">
        <v>118109064</v>
      </c>
      <c r="I63" s="3">
        <v>112136839</v>
      </c>
      <c r="J63" s="3"/>
      <c r="K63" s="3" t="s">
        <v>725</v>
      </c>
      <c r="L63" s="3">
        <v>595586362</v>
      </c>
      <c r="M63" s="5" t="s">
        <v>726</v>
      </c>
      <c r="N63" s="12" t="s">
        <v>727</v>
      </c>
      <c r="O63" s="3">
        <v>595563000</v>
      </c>
      <c r="P63" s="5" t="s">
        <v>728</v>
      </c>
      <c r="Q63" s="4" t="s">
        <v>729</v>
      </c>
      <c r="R63" s="3" t="s">
        <v>730</v>
      </c>
      <c r="S63" s="3"/>
    </row>
    <row r="64" spans="1:19" ht="71.25" x14ac:dyDescent="0.2">
      <c r="A64" s="7">
        <v>64</v>
      </c>
      <c r="B64" s="4" t="s">
        <v>731</v>
      </c>
      <c r="C64" s="3" t="s">
        <v>732</v>
      </c>
      <c r="D64" s="3"/>
      <c r="E64" s="4" t="s">
        <v>733</v>
      </c>
      <c r="F64" s="3">
        <v>4030048535</v>
      </c>
      <c r="G64" s="3" t="s">
        <v>734</v>
      </c>
      <c r="H64" s="3">
        <v>126440099</v>
      </c>
      <c r="I64" s="3">
        <v>116422669</v>
      </c>
      <c r="J64" s="3">
        <v>180</v>
      </c>
      <c r="K64" s="3" t="s">
        <v>735</v>
      </c>
      <c r="L64" s="4" t="s">
        <v>736</v>
      </c>
      <c r="M64" s="5" t="s">
        <v>737</v>
      </c>
      <c r="N64" s="3" t="s">
        <v>738</v>
      </c>
      <c r="O64" s="3">
        <v>536291649</v>
      </c>
      <c r="P64" s="5" t="s">
        <v>739</v>
      </c>
      <c r="Q64" s="3" t="s">
        <v>740</v>
      </c>
      <c r="R64" s="3" t="s">
        <v>741</v>
      </c>
      <c r="S64" s="3"/>
    </row>
    <row r="65" spans="1:19" ht="42.75" x14ac:dyDescent="0.2">
      <c r="A65" s="7">
        <v>65</v>
      </c>
      <c r="B65" s="3" t="s">
        <v>94</v>
      </c>
      <c r="C65" s="3" t="s">
        <v>18</v>
      </c>
      <c r="D65" s="3" t="s">
        <v>18</v>
      </c>
      <c r="E65" s="4" t="s">
        <v>268</v>
      </c>
      <c r="F65" s="3">
        <v>1010197890</v>
      </c>
      <c r="G65" s="3" t="s">
        <v>151</v>
      </c>
      <c r="H65" s="3">
        <v>114466716</v>
      </c>
      <c r="I65" s="3" t="s">
        <v>18</v>
      </c>
      <c r="J65" s="3" t="s">
        <v>43</v>
      </c>
      <c r="K65" s="3" t="s">
        <v>95</v>
      </c>
      <c r="L65" s="3">
        <v>506191373</v>
      </c>
      <c r="M65" s="5" t="s">
        <v>96</v>
      </c>
      <c r="N65" s="3" t="s">
        <v>95</v>
      </c>
      <c r="O65" s="3">
        <v>506191373</v>
      </c>
      <c r="P65" s="5" t="s">
        <v>96</v>
      </c>
      <c r="Q65" s="3" t="s">
        <v>97</v>
      </c>
      <c r="R65" s="3" t="s">
        <v>46</v>
      </c>
      <c r="S65" s="4" t="s">
        <v>95</v>
      </c>
    </row>
    <row r="66" spans="1:19" ht="57" x14ac:dyDescent="0.2">
      <c r="A66" s="7">
        <v>66</v>
      </c>
      <c r="B66" s="3" t="s">
        <v>109</v>
      </c>
      <c r="C66" s="3" t="s">
        <v>108</v>
      </c>
      <c r="D66" s="3" t="s">
        <v>110</v>
      </c>
      <c r="E66" s="4" t="s">
        <v>266</v>
      </c>
      <c r="F66" s="3">
        <v>1010265998</v>
      </c>
      <c r="G66" s="3" t="s">
        <v>111</v>
      </c>
      <c r="H66" s="3">
        <v>112635087</v>
      </c>
      <c r="I66" s="3">
        <v>112635087</v>
      </c>
      <c r="J66" s="3" t="s">
        <v>43</v>
      </c>
      <c r="K66" s="3" t="s">
        <v>155</v>
      </c>
      <c r="L66" s="3">
        <v>542153722</v>
      </c>
      <c r="M66" s="5" t="s">
        <v>107</v>
      </c>
      <c r="N66" s="3" t="s">
        <v>112</v>
      </c>
      <c r="O66" s="3">
        <v>500968262</v>
      </c>
      <c r="P66" s="5" t="s">
        <v>106</v>
      </c>
      <c r="Q66" s="3" t="s">
        <v>105</v>
      </c>
      <c r="R66" s="3" t="s">
        <v>113</v>
      </c>
      <c r="S66" s="3" t="s">
        <v>109</v>
      </c>
    </row>
    <row r="67" spans="1:19" ht="57" x14ac:dyDescent="0.2">
      <c r="A67" s="7">
        <v>67</v>
      </c>
      <c r="B67" s="3" t="s">
        <v>201</v>
      </c>
      <c r="C67" s="3" t="s">
        <v>220</v>
      </c>
      <c r="D67" s="3" t="s">
        <v>219</v>
      </c>
      <c r="E67" s="4" t="s">
        <v>269</v>
      </c>
      <c r="F67" s="3">
        <v>1010182816</v>
      </c>
      <c r="G67" s="4" t="s">
        <v>202</v>
      </c>
      <c r="H67" s="3">
        <v>114567080</v>
      </c>
      <c r="I67" s="3">
        <v>112693917</v>
      </c>
      <c r="J67" s="3" t="s">
        <v>203</v>
      </c>
      <c r="K67" s="3" t="s">
        <v>204</v>
      </c>
      <c r="L67" s="3"/>
      <c r="M67" s="3"/>
      <c r="N67" s="3" t="s">
        <v>205</v>
      </c>
      <c r="O67" s="3">
        <v>538925440</v>
      </c>
      <c r="P67" s="3"/>
      <c r="Q67" s="3" t="s">
        <v>206</v>
      </c>
      <c r="R67" s="3"/>
      <c r="S67" s="3"/>
    </row>
    <row r="68" spans="1:19" ht="57" x14ac:dyDescent="0.2">
      <c r="A68" s="7">
        <v>68</v>
      </c>
      <c r="B68" s="4" t="s">
        <v>212</v>
      </c>
      <c r="C68" s="4" t="s">
        <v>87</v>
      </c>
      <c r="D68" s="3" t="s">
        <v>88</v>
      </c>
      <c r="E68" s="4" t="s">
        <v>270</v>
      </c>
      <c r="F68" s="3">
        <v>1010089086</v>
      </c>
      <c r="G68" s="4" t="s">
        <v>89</v>
      </c>
      <c r="H68" s="3">
        <v>114620146</v>
      </c>
      <c r="I68" s="3">
        <v>114618620</v>
      </c>
      <c r="J68" s="3" t="s">
        <v>149</v>
      </c>
      <c r="K68" s="3" t="s">
        <v>90</v>
      </c>
      <c r="L68" s="3">
        <v>540669454</v>
      </c>
      <c r="M68" s="5" t="s">
        <v>91</v>
      </c>
      <c r="N68" s="3" t="s">
        <v>93</v>
      </c>
      <c r="O68" s="3">
        <v>540669465</v>
      </c>
      <c r="P68" s="5" t="s">
        <v>92</v>
      </c>
      <c r="Q68" s="3" t="s">
        <v>84</v>
      </c>
      <c r="R68" s="3" t="s">
        <v>150</v>
      </c>
      <c r="S68" s="4" t="s">
        <v>86</v>
      </c>
    </row>
    <row r="69" spans="1:19" ht="42.75" x14ac:dyDescent="0.2">
      <c r="A69" s="7">
        <v>69</v>
      </c>
      <c r="B69" s="3" t="s">
        <v>226</v>
      </c>
      <c r="C69" s="4" t="s">
        <v>227</v>
      </c>
      <c r="D69" s="4" t="s">
        <v>228</v>
      </c>
      <c r="E69" s="4" t="s">
        <v>271</v>
      </c>
      <c r="F69" s="3">
        <v>1010018908</v>
      </c>
      <c r="G69" s="3" t="s">
        <v>229</v>
      </c>
      <c r="H69" s="3">
        <v>114766688</v>
      </c>
      <c r="I69" s="3">
        <v>114793626</v>
      </c>
      <c r="J69" s="3">
        <v>52853</v>
      </c>
      <c r="K69" s="4" t="s">
        <v>230</v>
      </c>
      <c r="L69" s="3">
        <v>599950111</v>
      </c>
      <c r="M69" s="3"/>
      <c r="N69" s="3" t="s">
        <v>231</v>
      </c>
      <c r="O69" s="3">
        <v>555028923</v>
      </c>
      <c r="P69" s="3"/>
      <c r="Q69" s="3" t="s">
        <v>232</v>
      </c>
      <c r="R69" s="4" t="s">
        <v>233</v>
      </c>
      <c r="S69" s="4" t="s">
        <v>234</v>
      </c>
    </row>
    <row r="70" spans="1:19" ht="71.25" x14ac:dyDescent="0.2">
      <c r="A70" s="7">
        <v>70</v>
      </c>
      <c r="B70" s="3" t="s">
        <v>369</v>
      </c>
      <c r="C70" s="3"/>
      <c r="D70" s="3">
        <v>11314</v>
      </c>
      <c r="E70" s="4" t="s">
        <v>370</v>
      </c>
      <c r="F70" s="3">
        <v>1010233070</v>
      </c>
      <c r="G70" s="4" t="s">
        <v>371</v>
      </c>
      <c r="H70" s="3">
        <v>114607553</v>
      </c>
      <c r="I70" s="3">
        <v>114608231</v>
      </c>
      <c r="J70" s="3"/>
      <c r="K70" s="3" t="s">
        <v>372</v>
      </c>
      <c r="L70" s="3">
        <v>500127775</v>
      </c>
      <c r="M70" s="3"/>
      <c r="N70" s="3" t="s">
        <v>373</v>
      </c>
      <c r="O70" s="3">
        <v>500127775</v>
      </c>
      <c r="P70" s="3"/>
      <c r="Q70" s="3" t="s">
        <v>374</v>
      </c>
      <c r="R70" s="3"/>
      <c r="S70" s="3"/>
    </row>
    <row r="71" spans="1:19" ht="57" x14ac:dyDescent="0.2">
      <c r="A71" s="7">
        <v>71</v>
      </c>
      <c r="B71" s="4" t="s">
        <v>653</v>
      </c>
      <c r="C71" s="4" t="s">
        <v>654</v>
      </c>
      <c r="D71" s="3"/>
      <c r="E71" s="4" t="s">
        <v>655</v>
      </c>
      <c r="F71" s="3">
        <v>1010045155</v>
      </c>
      <c r="G71" s="4" t="s">
        <v>656</v>
      </c>
      <c r="H71" s="3">
        <v>114646279</v>
      </c>
      <c r="I71" s="3">
        <v>114646093</v>
      </c>
      <c r="J71" s="3">
        <v>53272</v>
      </c>
      <c r="K71" s="4" t="s">
        <v>657</v>
      </c>
      <c r="L71" s="3"/>
      <c r="M71" s="3"/>
      <c r="N71" s="3" t="s">
        <v>658</v>
      </c>
      <c r="O71" s="3">
        <v>506344210</v>
      </c>
      <c r="P71" s="5" t="s">
        <v>659</v>
      </c>
      <c r="Q71" s="3" t="s">
        <v>660</v>
      </c>
      <c r="R71" s="3" t="s">
        <v>306</v>
      </c>
      <c r="S71" s="3" t="s">
        <v>661</v>
      </c>
    </row>
    <row r="72" spans="1:19" ht="28.5" x14ac:dyDescent="0.2">
      <c r="A72" s="7">
        <v>72</v>
      </c>
      <c r="B72" s="3" t="s">
        <v>191</v>
      </c>
      <c r="C72" s="3" t="s">
        <v>287</v>
      </c>
      <c r="D72" s="2"/>
      <c r="E72" s="4" t="s">
        <v>272</v>
      </c>
      <c r="F72" s="3">
        <v>1010317186</v>
      </c>
      <c r="G72" s="3" t="s">
        <v>192</v>
      </c>
      <c r="H72" s="3">
        <v>112373558</v>
      </c>
      <c r="I72" s="2"/>
      <c r="J72" s="3">
        <v>12258</v>
      </c>
      <c r="K72" s="3" t="s">
        <v>193</v>
      </c>
      <c r="L72" s="9"/>
      <c r="M72" s="2"/>
      <c r="N72" s="3" t="s">
        <v>194</v>
      </c>
      <c r="O72" s="3">
        <v>536365286</v>
      </c>
      <c r="P72" s="2"/>
      <c r="Q72" s="3" t="s">
        <v>195</v>
      </c>
      <c r="R72" s="3" t="s">
        <v>196</v>
      </c>
      <c r="S72" s="3" t="s">
        <v>193</v>
      </c>
    </row>
    <row r="73" spans="1:19" ht="42.75" x14ac:dyDescent="0.2">
      <c r="A73" s="7">
        <v>73</v>
      </c>
      <c r="B73" s="3" t="s">
        <v>187</v>
      </c>
      <c r="C73" s="3" t="s">
        <v>188</v>
      </c>
      <c r="D73" s="2"/>
      <c r="E73" s="4" t="s">
        <v>273</v>
      </c>
      <c r="F73" s="3">
        <v>4030338930</v>
      </c>
      <c r="G73" s="3" t="s">
        <v>288</v>
      </c>
      <c r="H73" s="3">
        <v>8323402</v>
      </c>
      <c r="I73" s="2"/>
      <c r="J73" s="2"/>
      <c r="K73" s="8" t="s">
        <v>189</v>
      </c>
      <c r="L73" s="2"/>
      <c r="M73" s="2"/>
      <c r="N73" s="3" t="s">
        <v>190</v>
      </c>
      <c r="O73" s="3">
        <v>568288637</v>
      </c>
      <c r="P73" s="5" t="s">
        <v>289</v>
      </c>
      <c r="Q73" s="2"/>
      <c r="R73" s="2"/>
      <c r="S73" s="2"/>
    </row>
    <row r="74" spans="1:19" ht="15" x14ac:dyDescent="0.2">
      <c r="A74" s="7">
        <v>74</v>
      </c>
      <c r="B74" s="3" t="s">
        <v>290</v>
      </c>
      <c r="C74" s="3" t="s">
        <v>291</v>
      </c>
      <c r="D74" s="3"/>
      <c r="E74" s="3" t="s">
        <v>292</v>
      </c>
      <c r="F74" s="3">
        <v>1010261556</v>
      </c>
      <c r="G74" s="3" t="s">
        <v>293</v>
      </c>
      <c r="H74" s="3">
        <v>114923489</v>
      </c>
      <c r="I74" s="3">
        <v>114923489</v>
      </c>
      <c r="J74" s="3">
        <v>26132</v>
      </c>
      <c r="K74" s="3" t="s">
        <v>294</v>
      </c>
      <c r="L74" s="3">
        <v>505227752</v>
      </c>
      <c r="M74" s="5" t="s">
        <v>295</v>
      </c>
      <c r="N74" s="3"/>
      <c r="O74" s="3"/>
      <c r="P74" s="3"/>
      <c r="Q74" s="3" t="s">
        <v>296</v>
      </c>
      <c r="R74" s="3" t="s">
        <v>196</v>
      </c>
      <c r="S74" s="3" t="s">
        <v>290</v>
      </c>
    </row>
    <row r="75" spans="1:19" ht="15" x14ac:dyDescent="0.2">
      <c r="A75" s="7">
        <v>75</v>
      </c>
      <c r="B75" s="3" t="s">
        <v>297</v>
      </c>
      <c r="C75" s="3" t="s">
        <v>298</v>
      </c>
      <c r="D75" s="3" t="s">
        <v>299</v>
      </c>
      <c r="E75" s="3" t="s">
        <v>300</v>
      </c>
      <c r="F75" s="3">
        <v>1010016778</v>
      </c>
      <c r="G75" s="3" t="s">
        <v>301</v>
      </c>
      <c r="H75" s="3">
        <v>11446555</v>
      </c>
      <c r="I75" s="3">
        <v>11460611</v>
      </c>
      <c r="J75" s="3">
        <v>3549</v>
      </c>
      <c r="K75" s="3" t="s">
        <v>302</v>
      </c>
      <c r="L75" s="3"/>
      <c r="M75" s="3"/>
      <c r="N75" s="3" t="s">
        <v>303</v>
      </c>
      <c r="O75" s="3">
        <v>506453010</v>
      </c>
      <c r="P75" s="5" t="s">
        <v>304</v>
      </c>
      <c r="Q75" s="3" t="s">
        <v>305</v>
      </c>
      <c r="R75" s="3" t="s">
        <v>306</v>
      </c>
      <c r="S75" s="3" t="s">
        <v>307</v>
      </c>
    </row>
    <row r="76" spans="1:19" ht="15" x14ac:dyDescent="0.2">
      <c r="A76" s="7">
        <v>76</v>
      </c>
      <c r="B76" s="3" t="s">
        <v>375</v>
      </c>
      <c r="C76" s="3"/>
      <c r="D76" s="3"/>
      <c r="E76" s="3" t="s">
        <v>376</v>
      </c>
      <c r="F76" s="3">
        <v>1010212278</v>
      </c>
      <c r="G76" s="3" t="s">
        <v>377</v>
      </c>
      <c r="H76" s="3"/>
      <c r="I76" s="3"/>
      <c r="J76" s="3">
        <v>51133</v>
      </c>
      <c r="K76" s="3" t="s">
        <v>378</v>
      </c>
      <c r="L76" s="3"/>
      <c r="M76" s="3"/>
      <c r="N76" s="3" t="s">
        <v>379</v>
      </c>
      <c r="O76" s="3">
        <v>551858622</v>
      </c>
      <c r="P76" s="3"/>
      <c r="Q76" s="3" t="s">
        <v>380</v>
      </c>
      <c r="R76" s="3" t="s">
        <v>381</v>
      </c>
      <c r="S76" s="3" t="s">
        <v>382</v>
      </c>
    </row>
    <row r="77" spans="1:19" ht="28.5" x14ac:dyDescent="0.2">
      <c r="A77" s="7">
        <v>77</v>
      </c>
      <c r="B77" s="3" t="s">
        <v>391</v>
      </c>
      <c r="C77" s="2"/>
      <c r="D77" s="2"/>
      <c r="E77" s="4" t="s">
        <v>392</v>
      </c>
      <c r="F77" s="3">
        <v>1010254301</v>
      </c>
      <c r="G77" s="3" t="s">
        <v>393</v>
      </c>
      <c r="H77" s="3">
        <v>112462070</v>
      </c>
      <c r="I77" s="2"/>
      <c r="J77" s="2"/>
      <c r="K77" s="3" t="s">
        <v>394</v>
      </c>
      <c r="L77" s="2"/>
      <c r="M77" s="2"/>
      <c r="N77" s="3" t="s">
        <v>395</v>
      </c>
      <c r="O77" s="3">
        <v>551864880</v>
      </c>
      <c r="P77" s="2"/>
      <c r="Q77" s="3" t="s">
        <v>396</v>
      </c>
      <c r="R77" s="3" t="s">
        <v>196</v>
      </c>
      <c r="S77" s="3" t="s">
        <v>397</v>
      </c>
    </row>
    <row r="78" spans="1:19" ht="15" x14ac:dyDescent="0.2">
      <c r="A78" s="7">
        <v>78</v>
      </c>
      <c r="B78" s="3" t="s">
        <v>427</v>
      </c>
      <c r="C78" s="3"/>
      <c r="D78" s="3"/>
      <c r="E78" s="3" t="s">
        <v>428</v>
      </c>
      <c r="F78" s="3">
        <v>5855064733</v>
      </c>
      <c r="G78" s="3" t="s">
        <v>429</v>
      </c>
      <c r="H78" s="3"/>
      <c r="I78" s="3"/>
      <c r="J78" s="3"/>
      <c r="K78" s="3" t="s">
        <v>430</v>
      </c>
      <c r="L78" s="3">
        <v>557770246</v>
      </c>
      <c r="M78" s="3"/>
      <c r="N78" s="3"/>
      <c r="O78" s="3"/>
      <c r="P78" s="3"/>
      <c r="Q78" s="3" t="s">
        <v>497</v>
      </c>
      <c r="R78" s="3" t="s">
        <v>168</v>
      </c>
      <c r="S78" s="3" t="s">
        <v>430</v>
      </c>
    </row>
    <row r="79" spans="1:19" ht="15" x14ac:dyDescent="0.2">
      <c r="A79" s="7">
        <v>79</v>
      </c>
      <c r="B79" s="3" t="s">
        <v>493</v>
      </c>
      <c r="C79" s="3"/>
      <c r="D79" s="3"/>
      <c r="E79" s="3" t="s">
        <v>376</v>
      </c>
      <c r="F79" s="3">
        <v>5951100483</v>
      </c>
      <c r="G79" s="3" t="s">
        <v>494</v>
      </c>
      <c r="H79" s="3">
        <v>175325500</v>
      </c>
      <c r="I79" s="3"/>
      <c r="J79" s="3">
        <v>16</v>
      </c>
      <c r="K79" s="3" t="s">
        <v>495</v>
      </c>
      <c r="L79" s="3"/>
      <c r="M79" s="3"/>
      <c r="N79" s="3" t="s">
        <v>496</v>
      </c>
      <c r="O79" s="3"/>
      <c r="P79" s="3"/>
      <c r="Q79" s="3" t="s">
        <v>368</v>
      </c>
      <c r="R79" s="3"/>
      <c r="S79" s="3"/>
    </row>
    <row r="80" spans="1:19" ht="15" x14ac:dyDescent="0.2">
      <c r="A80" s="7">
        <v>80</v>
      </c>
      <c r="B80" s="3" t="s">
        <v>383</v>
      </c>
      <c r="C80" s="3" t="s">
        <v>384</v>
      </c>
      <c r="D80" s="8"/>
      <c r="E80" s="4" t="s">
        <v>385</v>
      </c>
      <c r="F80" s="3">
        <v>1010022606</v>
      </c>
      <c r="G80" s="3" t="s">
        <v>386</v>
      </c>
      <c r="H80" s="3">
        <v>114235114</v>
      </c>
      <c r="I80" s="3">
        <v>114399680</v>
      </c>
      <c r="J80" s="3">
        <v>10229</v>
      </c>
      <c r="K80" s="3" t="s">
        <v>387</v>
      </c>
      <c r="L80" s="3">
        <v>544008727</v>
      </c>
      <c r="M80" s="8"/>
      <c r="N80" s="3" t="s">
        <v>388</v>
      </c>
      <c r="O80" s="3">
        <v>544008727</v>
      </c>
      <c r="P80" s="8"/>
      <c r="Q80" s="3" t="s">
        <v>389</v>
      </c>
      <c r="R80" s="3" t="s">
        <v>390</v>
      </c>
      <c r="S80" s="3" t="s">
        <v>383</v>
      </c>
    </row>
    <row r="81" spans="1:20" ht="28.5" x14ac:dyDescent="0.2">
      <c r="A81" s="7">
        <v>81</v>
      </c>
      <c r="B81" s="3" t="s">
        <v>498</v>
      </c>
      <c r="C81" s="3" t="s">
        <v>499</v>
      </c>
      <c r="D81" s="11"/>
      <c r="E81" s="4" t="s">
        <v>500</v>
      </c>
      <c r="F81" s="3">
        <v>1010213852</v>
      </c>
      <c r="G81" s="3" t="s">
        <v>501</v>
      </c>
      <c r="H81" s="3">
        <v>112178922</v>
      </c>
      <c r="I81" s="11">
        <v>112178980</v>
      </c>
      <c r="J81" s="11">
        <v>31295</v>
      </c>
      <c r="K81" s="3" t="s">
        <v>502</v>
      </c>
      <c r="L81" s="11"/>
      <c r="M81" s="11"/>
      <c r="N81" s="3" t="s">
        <v>503</v>
      </c>
      <c r="O81" s="3">
        <v>502008283</v>
      </c>
      <c r="P81" s="5"/>
      <c r="Q81" s="11" t="s">
        <v>504</v>
      </c>
      <c r="R81" s="11" t="s">
        <v>196</v>
      </c>
      <c r="S81" s="11" t="s">
        <v>498</v>
      </c>
    </row>
    <row r="82" spans="1:20" x14ac:dyDescent="0.2">
      <c r="A82" t="b">
        <v>1</v>
      </c>
      <c r="E82" s="14"/>
      <c r="G82" s="14"/>
      <c r="M82" s="14"/>
      <c r="T82" s="16"/>
    </row>
    <row r="83" spans="1:20" ht="71.25" x14ac:dyDescent="0.2">
      <c r="A83">
        <v>8</v>
      </c>
      <c r="B83" t="s">
        <v>244</v>
      </c>
      <c r="C83">
        <v>0</v>
      </c>
      <c r="D83">
        <v>0</v>
      </c>
      <c r="E83" s="14" t="s">
        <v>754</v>
      </c>
      <c r="F83">
        <v>4650057116</v>
      </c>
      <c r="G83" s="14" t="s">
        <v>755</v>
      </c>
      <c r="H83">
        <v>0</v>
      </c>
      <c r="I83">
        <v>0</v>
      </c>
      <c r="J83">
        <v>0</v>
      </c>
      <c r="K83" t="s">
        <v>246</v>
      </c>
      <c r="L83">
        <v>504343728</v>
      </c>
      <c r="M83" s="14">
        <v>0</v>
      </c>
      <c r="N83" t="s">
        <v>247</v>
      </c>
      <c r="O83">
        <v>504343728</v>
      </c>
      <c r="P83">
        <v>0</v>
      </c>
      <c r="Q83">
        <v>419608010012842</v>
      </c>
      <c r="R83" t="s">
        <v>46</v>
      </c>
      <c r="S83" t="s">
        <v>247</v>
      </c>
      <c r="T83" s="16">
        <v>42743</v>
      </c>
    </row>
    <row r="84" spans="1:20" x14ac:dyDescent="0.2">
      <c r="A84" t="b">
        <v>1</v>
      </c>
      <c r="T84" s="16"/>
    </row>
  </sheetData>
  <customSheetViews>
    <customSheetView guid="{9D30A969-3113-4BF6-AB8E-2B31C086A125}">
      <selection activeCell="C18" sqref="C18"/>
      <pageMargins left="0.7" right="0.7" top="0.75" bottom="0.75" header="0.3" footer="0.3"/>
    </customSheetView>
  </customSheetViews>
  <hyperlinks>
    <hyperlink ref="M7" r:id="rId1"/>
    <hyperlink ref="P7" r:id="rId2"/>
    <hyperlink ref="M13" r:id="rId3"/>
    <hyperlink ref="P13" r:id="rId4"/>
    <hyperlink ref="P14" r:id="rId5"/>
    <hyperlink ref="P16" r:id="rId6"/>
    <hyperlink ref="M17" r:id="rId7"/>
    <hyperlink ref="P17" r:id="rId8"/>
    <hyperlink ref="M18" r:id="rId9"/>
    <hyperlink ref="P18" r:id="rId10"/>
    <hyperlink ref="P20" r:id="rId11"/>
    <hyperlink ref="P21" r:id="rId12"/>
    <hyperlink ref="M21" r:id="rId13"/>
    <hyperlink ref="M25" r:id="rId14"/>
    <hyperlink ref="M26" r:id="rId15"/>
    <hyperlink ref="P26" r:id="rId16"/>
    <hyperlink ref="M27" r:id="rId17"/>
    <hyperlink ref="P27" r:id="rId18"/>
    <hyperlink ref="M28" r:id="rId19"/>
    <hyperlink ref="M30" r:id="rId20"/>
    <hyperlink ref="M33" r:id="rId21"/>
    <hyperlink ref="M37" r:id="rId22"/>
    <hyperlink ref="M38" r:id="rId23"/>
    <hyperlink ref="P38" r:id="rId24"/>
    <hyperlink ref="M40" r:id="rId25"/>
    <hyperlink ref="P40" r:id="rId26"/>
    <hyperlink ref="M41" r:id="rId27"/>
    <hyperlink ref="P41" r:id="rId28"/>
    <hyperlink ref="M44" r:id="rId29"/>
    <hyperlink ref="P44" r:id="rId30"/>
    <hyperlink ref="M45" r:id="rId31"/>
    <hyperlink ref="P45" r:id="rId32"/>
    <hyperlink ref="M46" r:id="rId33"/>
    <hyperlink ref="M47" r:id="rId34"/>
    <hyperlink ref="P47" r:id="rId35"/>
    <hyperlink ref="P48" r:id="rId36"/>
    <hyperlink ref="M49" r:id="rId37"/>
    <hyperlink ref="P49" r:id="rId38"/>
    <hyperlink ref="M50" r:id="rId39"/>
    <hyperlink ref="P50" r:id="rId40"/>
    <hyperlink ref="M51" r:id="rId41"/>
    <hyperlink ref="P51" r:id="rId42"/>
    <hyperlink ref="P52" r:id="rId43"/>
    <hyperlink ref="M53" r:id="rId44"/>
    <hyperlink ref="P53" r:id="rId45"/>
    <hyperlink ref="M54" r:id="rId46"/>
    <hyperlink ref="P54" r:id="rId47"/>
    <hyperlink ref="P55" r:id="rId48"/>
    <hyperlink ref="M56" r:id="rId49"/>
    <hyperlink ref="P56" r:id="rId50"/>
    <hyperlink ref="M57" r:id="rId51"/>
    <hyperlink ref="P57" r:id="rId52"/>
    <hyperlink ref="M58" r:id="rId53"/>
    <hyperlink ref="P58" r:id="rId54"/>
    <hyperlink ref="M59" r:id="rId55"/>
    <hyperlink ref="P59" r:id="rId56"/>
    <hyperlink ref="M60" r:id="rId57"/>
    <hyperlink ref="P60" r:id="rId58"/>
    <hyperlink ref="P62" r:id="rId59"/>
    <hyperlink ref="M63" r:id="rId60"/>
    <hyperlink ref="P63" r:id="rId61"/>
    <hyperlink ref="M64" r:id="rId62"/>
    <hyperlink ref="P64" r:id="rId63"/>
    <hyperlink ref="M65" r:id="rId64"/>
    <hyperlink ref="P65" r:id="rId65"/>
    <hyperlink ref="P68" r:id="rId66"/>
    <hyperlink ref="M68" r:id="rId67"/>
    <hyperlink ref="P71" r:id="rId68"/>
    <hyperlink ref="P73" r:id="rId69"/>
    <hyperlink ref="M74" r:id="rId70"/>
    <hyperlink ref="P75" r:id="rId71"/>
  </hyperlinks>
  <pageMargins left="0.7" right="0.7" top="0.75" bottom="0.75" header="0.3" footer="0.3"/>
  <pageSetup paperSize="9" orientation="portrait" r:id="rId7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>
    <tabColor theme="9" tint="-0.249977111117893"/>
  </sheetPr>
  <dimension ref="A1:T19"/>
  <sheetViews>
    <sheetView rightToLeft="1" topLeftCell="A7" zoomScaleNormal="100" workbookViewId="0">
      <selection activeCell="A21" sqref="A21"/>
    </sheetView>
  </sheetViews>
  <sheetFormatPr defaultRowHeight="14.25" x14ac:dyDescent="0.2"/>
  <cols>
    <col min="2" max="2" width="33.125" customWidth="1"/>
    <col min="3" max="3" width="35.875" customWidth="1"/>
    <col min="4" max="4" width="21.625" customWidth="1"/>
    <col min="5" max="5" width="22.25" customWidth="1"/>
    <col min="6" max="6" width="20.875" customWidth="1"/>
    <col min="7" max="7" width="26.875" customWidth="1"/>
    <col min="8" max="8" width="20.625" customWidth="1"/>
    <col min="9" max="9" width="13.875" customWidth="1"/>
    <col min="10" max="10" width="24.75" customWidth="1"/>
    <col min="11" max="11" width="18.125" customWidth="1"/>
    <col min="12" max="12" width="18.625" customWidth="1"/>
    <col min="13" max="13" width="30" customWidth="1"/>
    <col min="14" max="14" width="27.375" customWidth="1"/>
    <col min="15" max="15" width="18.125" customWidth="1"/>
    <col min="16" max="16" width="28.25" customWidth="1"/>
    <col min="17" max="17" width="28.75" customWidth="1"/>
    <col min="18" max="18" width="27.125" customWidth="1"/>
    <col min="19" max="19" width="26.75" customWidth="1"/>
    <col min="20" max="20" width="27.625" customWidth="1"/>
  </cols>
  <sheetData>
    <row r="1" spans="1:20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  <c r="T1" s="15" t="s">
        <v>742</v>
      </c>
    </row>
    <row r="2" spans="1:20" ht="28.5" x14ac:dyDescent="0.2">
      <c r="A2" s="7">
        <v>1</v>
      </c>
      <c r="B2" s="3" t="s">
        <v>25</v>
      </c>
      <c r="C2" s="3" t="s">
        <v>26</v>
      </c>
      <c r="D2" s="3" t="s">
        <v>27</v>
      </c>
      <c r="E2" s="4" t="s">
        <v>28</v>
      </c>
      <c r="F2" s="3">
        <v>1010341649</v>
      </c>
      <c r="G2" s="3" t="s">
        <v>29</v>
      </c>
      <c r="H2" s="3">
        <v>112288351</v>
      </c>
      <c r="I2" s="3">
        <v>112288351</v>
      </c>
      <c r="J2" s="3" t="s">
        <v>18</v>
      </c>
      <c r="K2" s="3" t="s">
        <v>30</v>
      </c>
      <c r="L2" s="3">
        <v>551488855</v>
      </c>
      <c r="M2" s="6" t="s">
        <v>31</v>
      </c>
      <c r="N2" s="3" t="s">
        <v>18</v>
      </c>
      <c r="O2" s="3" t="s">
        <v>18</v>
      </c>
      <c r="P2" s="5" t="s">
        <v>18</v>
      </c>
      <c r="Q2" s="3" t="s">
        <v>32</v>
      </c>
      <c r="R2" s="3" t="s">
        <v>54</v>
      </c>
      <c r="S2" s="4" t="s">
        <v>33</v>
      </c>
      <c r="T2" s="16">
        <v>42736</v>
      </c>
    </row>
    <row r="3" spans="1:20" ht="42.75" x14ac:dyDescent="0.2">
      <c r="A3" s="7">
        <v>2</v>
      </c>
      <c r="B3" s="3" t="s">
        <v>179</v>
      </c>
      <c r="C3" s="3" t="s">
        <v>180</v>
      </c>
      <c r="D3" s="3"/>
      <c r="E3" s="4" t="s">
        <v>259</v>
      </c>
      <c r="F3" s="3">
        <v>4650037368</v>
      </c>
      <c r="G3" s="4" t="s">
        <v>181</v>
      </c>
      <c r="H3" s="3">
        <v>148459888</v>
      </c>
      <c r="I3" s="3">
        <v>148459654</v>
      </c>
      <c r="J3" s="3"/>
      <c r="K3" s="3" t="s">
        <v>182</v>
      </c>
      <c r="L3" s="3">
        <v>506671617</v>
      </c>
      <c r="M3" s="5" t="s">
        <v>183</v>
      </c>
      <c r="N3" s="3"/>
      <c r="O3" s="3"/>
      <c r="P3" s="3"/>
      <c r="Q3" s="3" t="s">
        <v>184</v>
      </c>
      <c r="R3" s="4" t="s">
        <v>185</v>
      </c>
      <c r="S3" s="3" t="s">
        <v>186</v>
      </c>
      <c r="T3" s="16">
        <v>42737</v>
      </c>
    </row>
    <row r="4" spans="1:20" ht="28.5" x14ac:dyDescent="0.2">
      <c r="A4" s="7">
        <v>3</v>
      </c>
      <c r="B4" s="3" t="s">
        <v>77</v>
      </c>
      <c r="C4" s="4" t="s">
        <v>87</v>
      </c>
      <c r="D4" s="3" t="s">
        <v>88</v>
      </c>
      <c r="E4" s="4" t="s">
        <v>260</v>
      </c>
      <c r="F4" s="3">
        <v>1010089086</v>
      </c>
      <c r="G4" s="4" t="s">
        <v>78</v>
      </c>
      <c r="H4" s="3">
        <v>114549916</v>
      </c>
      <c r="I4" s="3">
        <v>114569089</v>
      </c>
      <c r="J4" s="3" t="s">
        <v>18</v>
      </c>
      <c r="K4" s="3" t="s">
        <v>80</v>
      </c>
      <c r="L4" s="3">
        <v>540669577</v>
      </c>
      <c r="M4" s="5" t="s">
        <v>81</v>
      </c>
      <c r="N4" s="3" t="s">
        <v>82</v>
      </c>
      <c r="O4" s="3">
        <v>555893261</v>
      </c>
      <c r="P4" s="5" t="s">
        <v>83</v>
      </c>
      <c r="Q4" s="3" t="s">
        <v>84</v>
      </c>
      <c r="R4" s="3" t="s">
        <v>85</v>
      </c>
      <c r="S4" s="4" t="s">
        <v>86</v>
      </c>
      <c r="T4" s="16">
        <v>42738</v>
      </c>
    </row>
    <row r="5" spans="1:20" ht="28.5" x14ac:dyDescent="0.2">
      <c r="A5" s="7">
        <v>4</v>
      </c>
      <c r="B5" s="3" t="s">
        <v>70</v>
      </c>
      <c r="C5" s="3" t="s">
        <v>48</v>
      </c>
      <c r="D5" s="3" t="s">
        <v>49</v>
      </c>
      <c r="E5" s="4" t="s">
        <v>261</v>
      </c>
      <c r="F5" s="3">
        <v>1010309008</v>
      </c>
      <c r="G5" s="3" t="s">
        <v>128</v>
      </c>
      <c r="H5" s="3">
        <v>136205043</v>
      </c>
      <c r="I5" s="3" t="s">
        <v>18</v>
      </c>
      <c r="J5" s="3" t="s">
        <v>18</v>
      </c>
      <c r="K5" s="3" t="s">
        <v>129</v>
      </c>
      <c r="L5" s="3">
        <v>500168387</v>
      </c>
      <c r="M5" s="5" t="s">
        <v>50</v>
      </c>
      <c r="N5" s="3" t="s">
        <v>130</v>
      </c>
      <c r="O5" s="3">
        <v>506444687</v>
      </c>
      <c r="P5" s="5" t="s">
        <v>50</v>
      </c>
      <c r="Q5" s="3" t="s">
        <v>131</v>
      </c>
      <c r="R5" s="3" t="s">
        <v>46</v>
      </c>
      <c r="S5" s="3" t="s">
        <v>47</v>
      </c>
      <c r="T5" s="16">
        <v>42739</v>
      </c>
    </row>
    <row r="6" spans="1:20" ht="45.75" customHeight="1" x14ac:dyDescent="0.2">
      <c r="A6" s="7">
        <v>5</v>
      </c>
      <c r="B6" s="3" t="s">
        <v>179</v>
      </c>
      <c r="C6" s="3" t="s">
        <v>180</v>
      </c>
      <c r="D6" s="3" t="s">
        <v>213</v>
      </c>
      <c r="E6" s="4" t="s">
        <v>262</v>
      </c>
      <c r="F6" s="3">
        <v>1010136285</v>
      </c>
      <c r="G6" s="4" t="s">
        <v>248</v>
      </c>
      <c r="H6" s="3"/>
      <c r="I6" s="3"/>
      <c r="J6" s="3" t="s">
        <v>214</v>
      </c>
      <c r="K6" s="3" t="s">
        <v>215</v>
      </c>
      <c r="L6" s="3">
        <v>555292445</v>
      </c>
      <c r="M6" s="3"/>
      <c r="N6" s="3" t="s">
        <v>216</v>
      </c>
      <c r="O6" s="3">
        <v>508200855</v>
      </c>
      <c r="P6" s="3"/>
      <c r="Q6" s="3" t="s">
        <v>217</v>
      </c>
      <c r="R6" s="4" t="s">
        <v>218</v>
      </c>
      <c r="S6" s="3" t="s">
        <v>179</v>
      </c>
      <c r="T6" s="16">
        <v>42740</v>
      </c>
    </row>
    <row r="7" spans="1:20" ht="28.5" x14ac:dyDescent="0.2">
      <c r="A7" s="7">
        <v>6</v>
      </c>
      <c r="B7" s="3" t="s">
        <v>69</v>
      </c>
      <c r="C7" s="3" t="s">
        <v>146</v>
      </c>
      <c r="D7" s="3" t="s">
        <v>18</v>
      </c>
      <c r="E7" s="4" t="s">
        <v>263</v>
      </c>
      <c r="F7" s="3">
        <v>4700015190</v>
      </c>
      <c r="G7" s="3" t="s">
        <v>147</v>
      </c>
      <c r="H7" s="3">
        <v>546641023</v>
      </c>
      <c r="I7" s="3">
        <v>143905521</v>
      </c>
      <c r="J7" s="3" t="s">
        <v>18</v>
      </c>
      <c r="K7" s="3" t="s">
        <v>72</v>
      </c>
      <c r="L7" s="3">
        <v>546641023</v>
      </c>
      <c r="M7" s="5" t="s">
        <v>73</v>
      </c>
      <c r="N7" s="3" t="s">
        <v>148</v>
      </c>
      <c r="O7" s="3">
        <v>541327810</v>
      </c>
      <c r="P7" s="3" t="s">
        <v>74</v>
      </c>
      <c r="Q7" s="3" t="s">
        <v>75</v>
      </c>
      <c r="R7" s="3" t="s">
        <v>76</v>
      </c>
      <c r="S7" s="3" t="s">
        <v>148</v>
      </c>
      <c r="T7" s="16">
        <v>42741</v>
      </c>
    </row>
    <row r="8" spans="1:20" ht="36.75" customHeight="1" x14ac:dyDescent="0.2">
      <c r="A8" s="7">
        <v>7</v>
      </c>
      <c r="B8" s="3" t="s">
        <v>170</v>
      </c>
      <c r="C8" s="3" t="s">
        <v>171</v>
      </c>
      <c r="D8" s="3"/>
      <c r="E8" s="4" t="s">
        <v>264</v>
      </c>
      <c r="F8" s="3">
        <v>1010303088</v>
      </c>
      <c r="G8" s="3" t="s">
        <v>172</v>
      </c>
      <c r="H8" s="3" t="s">
        <v>43</v>
      </c>
      <c r="I8" s="3" t="s">
        <v>173</v>
      </c>
      <c r="J8" s="3" t="s">
        <v>18</v>
      </c>
      <c r="K8" s="3" t="s">
        <v>174</v>
      </c>
      <c r="L8" s="3">
        <v>595405050</v>
      </c>
      <c r="M8" s="5" t="s">
        <v>175</v>
      </c>
      <c r="N8" s="3" t="s">
        <v>176</v>
      </c>
      <c r="O8" s="3">
        <v>59415516</v>
      </c>
      <c r="P8" s="5" t="s">
        <v>177</v>
      </c>
      <c r="Q8" s="3" t="s">
        <v>178</v>
      </c>
      <c r="R8" s="3" t="s">
        <v>168</v>
      </c>
      <c r="S8" s="3" t="s">
        <v>170</v>
      </c>
      <c r="T8" s="16">
        <v>42742</v>
      </c>
    </row>
    <row r="9" spans="1:20" ht="42.75" x14ac:dyDescent="0.2">
      <c r="A9" s="7">
        <v>8</v>
      </c>
      <c r="B9" s="3" t="s">
        <v>244</v>
      </c>
      <c r="C9" s="3"/>
      <c r="D9" s="3"/>
      <c r="E9" s="4" t="s">
        <v>265</v>
      </c>
      <c r="F9" s="3">
        <v>4650057116</v>
      </c>
      <c r="G9" s="4" t="s">
        <v>245</v>
      </c>
      <c r="H9" s="3"/>
      <c r="I9" s="3"/>
      <c r="J9" s="3"/>
      <c r="K9" s="3" t="s">
        <v>246</v>
      </c>
      <c r="L9" s="3">
        <v>504343728</v>
      </c>
      <c r="M9" s="3"/>
      <c r="N9" s="3" t="s">
        <v>247</v>
      </c>
      <c r="O9" s="3">
        <v>504343738</v>
      </c>
      <c r="P9" s="3"/>
      <c r="Q9" s="3">
        <v>419608010012842</v>
      </c>
      <c r="R9" s="3" t="s">
        <v>46</v>
      </c>
      <c r="S9" s="3" t="s">
        <v>247</v>
      </c>
      <c r="T9" s="16">
        <v>42743</v>
      </c>
    </row>
    <row r="10" spans="1:20" ht="39" customHeight="1" x14ac:dyDescent="0.2">
      <c r="A10" s="7">
        <v>9</v>
      </c>
      <c r="B10" s="3" t="s">
        <v>320</v>
      </c>
      <c r="C10" s="3"/>
      <c r="D10" s="3"/>
      <c r="E10" s="4" t="s">
        <v>321</v>
      </c>
      <c r="F10" s="3">
        <v>4031064028</v>
      </c>
      <c r="G10" s="4" t="s">
        <v>322</v>
      </c>
      <c r="H10" s="3"/>
      <c r="I10" s="3"/>
      <c r="J10" s="3"/>
      <c r="K10" s="4" t="s">
        <v>323</v>
      </c>
      <c r="L10" s="3">
        <v>503795591</v>
      </c>
      <c r="M10" s="3"/>
      <c r="N10" s="3" t="s">
        <v>324</v>
      </c>
      <c r="O10" s="3">
        <v>563485650</v>
      </c>
      <c r="P10" s="3"/>
      <c r="Q10" s="3" t="s">
        <v>325</v>
      </c>
      <c r="R10" s="3" t="s">
        <v>196</v>
      </c>
      <c r="S10" s="3" t="s">
        <v>326</v>
      </c>
      <c r="T10" s="16">
        <v>42744</v>
      </c>
    </row>
    <row r="11" spans="1:20" ht="28.5" x14ac:dyDescent="0.2">
      <c r="A11" s="7">
        <v>10</v>
      </c>
      <c r="B11" s="3" t="s">
        <v>475</v>
      </c>
      <c r="C11" s="3"/>
      <c r="D11" s="3"/>
      <c r="E11" s="4" t="s">
        <v>476</v>
      </c>
      <c r="F11" s="3">
        <v>1010373152</v>
      </c>
      <c r="G11" s="4" t="s">
        <v>477</v>
      </c>
      <c r="H11" s="3">
        <v>112395766</v>
      </c>
      <c r="I11" s="3"/>
      <c r="J11" s="3"/>
      <c r="K11" s="4" t="s">
        <v>478</v>
      </c>
      <c r="L11" s="3"/>
      <c r="M11" s="3"/>
      <c r="N11" s="3" t="s">
        <v>479</v>
      </c>
      <c r="O11" s="3">
        <v>590596621</v>
      </c>
      <c r="P11" s="3"/>
      <c r="Q11" s="3" t="s">
        <v>480</v>
      </c>
      <c r="R11" s="3" t="s">
        <v>85</v>
      </c>
      <c r="S11" s="3" t="s">
        <v>481</v>
      </c>
      <c r="T11" s="16">
        <v>42745</v>
      </c>
    </row>
    <row r="12" spans="1:20" ht="28.5" x14ac:dyDescent="0.2">
      <c r="A12" s="7">
        <v>11</v>
      </c>
      <c r="B12" s="4" t="s">
        <v>545</v>
      </c>
      <c r="C12" s="4" t="s">
        <v>546</v>
      </c>
      <c r="D12" s="3"/>
      <c r="E12" s="4" t="s">
        <v>547</v>
      </c>
      <c r="F12" s="3">
        <v>1011024498</v>
      </c>
      <c r="G12" s="4" t="s">
        <v>548</v>
      </c>
      <c r="H12" s="3">
        <v>112547901</v>
      </c>
      <c r="I12" s="3">
        <v>112547988</v>
      </c>
      <c r="J12" s="3"/>
      <c r="K12" s="4" t="s">
        <v>549</v>
      </c>
      <c r="L12" s="5">
        <v>55622922</v>
      </c>
      <c r="M12" s="3" t="s">
        <v>550</v>
      </c>
      <c r="N12" s="3" t="s">
        <v>551</v>
      </c>
      <c r="O12" s="3">
        <v>558807798</v>
      </c>
      <c r="P12" s="3"/>
      <c r="Q12" s="3" t="s">
        <v>552</v>
      </c>
      <c r="R12" s="3" t="s">
        <v>306</v>
      </c>
      <c r="S12" s="3" t="s">
        <v>553</v>
      </c>
      <c r="T12" s="16">
        <v>42746</v>
      </c>
    </row>
    <row r="13" spans="1:20" ht="28.5" x14ac:dyDescent="0.2">
      <c r="A13" s="7">
        <v>12</v>
      </c>
      <c r="B13" s="3" t="s">
        <v>593</v>
      </c>
      <c r="C13" s="3"/>
      <c r="D13" s="3" t="s">
        <v>594</v>
      </c>
      <c r="E13" s="4" t="s">
        <v>595</v>
      </c>
      <c r="F13" s="3">
        <v>1010264718</v>
      </c>
      <c r="G13" s="4" t="s">
        <v>596</v>
      </c>
      <c r="H13" s="3">
        <v>112385464</v>
      </c>
      <c r="I13" s="3"/>
      <c r="J13" s="3"/>
      <c r="K13" s="4" t="s">
        <v>597</v>
      </c>
      <c r="L13" s="3"/>
      <c r="M13" s="3"/>
      <c r="N13" s="3" t="s">
        <v>598</v>
      </c>
      <c r="O13" s="3">
        <v>555908534</v>
      </c>
      <c r="P13" s="3"/>
      <c r="Q13" s="3" t="s">
        <v>599</v>
      </c>
      <c r="R13" s="3" t="s">
        <v>46</v>
      </c>
      <c r="S13" s="3" t="s">
        <v>598</v>
      </c>
      <c r="T13" s="16">
        <v>42747</v>
      </c>
    </row>
    <row r="14" spans="1:20" ht="42.75" x14ac:dyDescent="0.2">
      <c r="A14" s="7">
        <v>13</v>
      </c>
      <c r="B14" s="3" t="s">
        <v>625</v>
      </c>
      <c r="C14" s="3" t="s">
        <v>626</v>
      </c>
      <c r="D14" s="3" t="s">
        <v>627</v>
      </c>
      <c r="E14" s="4" t="s">
        <v>628</v>
      </c>
      <c r="F14" s="3">
        <v>1010270469</v>
      </c>
      <c r="G14" s="3" t="s">
        <v>629</v>
      </c>
      <c r="H14" s="3">
        <v>114967286</v>
      </c>
      <c r="I14" s="3">
        <v>114967286</v>
      </c>
      <c r="J14" s="3"/>
      <c r="K14" s="3" t="s">
        <v>630</v>
      </c>
      <c r="L14" s="3">
        <v>505485600</v>
      </c>
      <c r="M14" s="5" t="s">
        <v>631</v>
      </c>
      <c r="N14" s="3" t="s">
        <v>632</v>
      </c>
      <c r="O14" s="3">
        <v>569326109</v>
      </c>
      <c r="P14" s="5" t="s">
        <v>631</v>
      </c>
      <c r="Q14" s="3" t="s">
        <v>633</v>
      </c>
      <c r="R14" s="3" t="s">
        <v>85</v>
      </c>
      <c r="S14" s="4" t="s">
        <v>634</v>
      </c>
      <c r="T14" s="16">
        <v>42748</v>
      </c>
    </row>
    <row r="15" spans="1:20" ht="28.5" x14ac:dyDescent="0.2">
      <c r="A15" s="7">
        <v>14</v>
      </c>
      <c r="B15" s="3" t="s">
        <v>686</v>
      </c>
      <c r="C15" s="3" t="s">
        <v>687</v>
      </c>
      <c r="D15" s="3" t="s">
        <v>688</v>
      </c>
      <c r="E15" s="4" t="s">
        <v>689</v>
      </c>
      <c r="F15" s="3">
        <v>1010314045</v>
      </c>
      <c r="G15" s="3" t="s">
        <v>690</v>
      </c>
      <c r="H15" s="3">
        <v>114666664</v>
      </c>
      <c r="I15" s="3">
        <v>114338150</v>
      </c>
      <c r="J15" s="3"/>
      <c r="K15" s="4" t="s">
        <v>691</v>
      </c>
      <c r="L15" s="3">
        <v>555080779</v>
      </c>
      <c r="M15" s="5"/>
      <c r="N15" s="3" t="s">
        <v>693</v>
      </c>
      <c r="O15" s="3">
        <v>555080779</v>
      </c>
      <c r="P15" s="5" t="s">
        <v>692</v>
      </c>
      <c r="Q15" s="3" t="s">
        <v>694</v>
      </c>
      <c r="R15" s="3" t="s">
        <v>695</v>
      </c>
      <c r="S15" s="3" t="s">
        <v>696</v>
      </c>
      <c r="T15" s="16">
        <v>42749</v>
      </c>
    </row>
    <row r="16" spans="1:20" ht="15" x14ac:dyDescent="0.2">
      <c r="A16" s="7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6"/>
    </row>
    <row r="17" spans="1:19" ht="15" x14ac:dyDescent="0.2">
      <c r="A17" s="7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ht="15" x14ac:dyDescent="0.2">
      <c r="A18" s="7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ht="15" x14ac:dyDescent="0.2">
      <c r="A19" s="7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</sheetData>
  <customSheetViews>
    <customSheetView guid="{9D30A969-3113-4BF6-AB8E-2B31C086A125}">
      <selection activeCell="B32" sqref="B32"/>
      <pageMargins left="0.7" right="0.7" top="0.75" bottom="0.75" header="0.3" footer="0.3"/>
    </customSheetView>
  </customSheetViews>
  <hyperlinks>
    <hyperlink ref="M5" r:id="rId1"/>
    <hyperlink ref="P5" r:id="rId2"/>
    <hyperlink ref="M7" r:id="rId3"/>
    <hyperlink ref="M8" r:id="rId4"/>
    <hyperlink ref="P8" r:id="rId5"/>
    <hyperlink ref="M4" r:id="rId6"/>
    <hyperlink ref="P4" r:id="rId7"/>
    <hyperlink ref="M14" r:id="rId8"/>
    <hyperlink ref="P14" r:id="rId9"/>
    <hyperlink ref="P15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2">
    <tabColor theme="2" tint="-0.249977111117893"/>
  </sheetPr>
  <dimension ref="A1:T49"/>
  <sheetViews>
    <sheetView rightToLeft="1" workbookViewId="0">
      <selection activeCell="R28" sqref="R28"/>
    </sheetView>
  </sheetViews>
  <sheetFormatPr defaultRowHeight="14.25" x14ac:dyDescent="0.2"/>
  <cols>
    <col min="2" max="2" width="27.625" customWidth="1"/>
    <col min="3" max="3" width="29.75" customWidth="1"/>
    <col min="4" max="4" width="20.625" customWidth="1"/>
    <col min="5" max="5" width="24" customWidth="1"/>
    <col min="6" max="6" width="15.75" customWidth="1"/>
    <col min="7" max="7" width="19.75" customWidth="1"/>
    <col min="8" max="8" width="21.75" customWidth="1"/>
    <col min="9" max="9" width="14.25" customWidth="1"/>
    <col min="10" max="10" width="18" customWidth="1"/>
    <col min="11" max="11" width="18.375" customWidth="1"/>
    <col min="12" max="12" width="15.75" customWidth="1"/>
    <col min="13" max="13" width="32.75" customWidth="1"/>
    <col min="14" max="14" width="27" customWidth="1"/>
    <col min="15" max="15" width="17.75" customWidth="1"/>
    <col min="16" max="16" width="33.5" customWidth="1"/>
    <col min="17" max="17" width="29" customWidth="1"/>
    <col min="18" max="18" width="26.125" customWidth="1"/>
    <col min="19" max="19" width="28.125" customWidth="1"/>
    <col min="20" max="20" width="26.25" customWidth="1"/>
  </cols>
  <sheetData>
    <row r="1" spans="1:20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</row>
    <row r="2" spans="1:20" ht="42.75" x14ac:dyDescent="0.2">
      <c r="A2" s="7">
        <v>1</v>
      </c>
      <c r="B2" s="3" t="s">
        <v>41</v>
      </c>
      <c r="C2" s="3" t="s">
        <v>18</v>
      </c>
      <c r="D2" s="3" t="s">
        <v>18</v>
      </c>
      <c r="E2" s="4" t="s">
        <v>274</v>
      </c>
      <c r="F2" s="3">
        <v>1010058731</v>
      </c>
      <c r="G2" s="4" t="s">
        <v>207</v>
      </c>
      <c r="H2" s="3">
        <v>114554346</v>
      </c>
      <c r="I2" s="3" t="s">
        <v>18</v>
      </c>
      <c r="J2" s="3" t="s">
        <v>18</v>
      </c>
      <c r="K2" s="3" t="s">
        <v>42</v>
      </c>
      <c r="L2" s="3">
        <v>503496696</v>
      </c>
      <c r="M2" s="3" t="s">
        <v>43</v>
      </c>
      <c r="N2" s="3" t="s">
        <v>44</v>
      </c>
      <c r="O2" s="3">
        <v>561290716</v>
      </c>
      <c r="P2" s="3" t="s">
        <v>18</v>
      </c>
      <c r="Q2" s="3" t="s">
        <v>45</v>
      </c>
      <c r="R2" s="3" t="s">
        <v>46</v>
      </c>
      <c r="S2" s="3" t="s">
        <v>44</v>
      </c>
      <c r="T2" s="16">
        <v>42370</v>
      </c>
    </row>
    <row r="3" spans="1:20" ht="28.5" x14ac:dyDescent="0.2">
      <c r="A3" s="7">
        <v>2</v>
      </c>
      <c r="B3" s="4" t="s">
        <v>208</v>
      </c>
      <c r="C3" s="3" t="s">
        <v>132</v>
      </c>
      <c r="D3" s="3" t="s">
        <v>51</v>
      </c>
      <c r="E3" s="3" t="s">
        <v>275</v>
      </c>
      <c r="F3" s="3">
        <v>1010006929</v>
      </c>
      <c r="G3" s="3" t="s">
        <v>52</v>
      </c>
      <c r="H3" s="3">
        <v>114950343</v>
      </c>
      <c r="I3" s="3">
        <v>114950347</v>
      </c>
      <c r="J3" s="3" t="s">
        <v>133</v>
      </c>
      <c r="K3" s="3" t="s">
        <v>134</v>
      </c>
      <c r="L3" s="3" t="s">
        <v>18</v>
      </c>
      <c r="M3" s="3" t="s">
        <v>43</v>
      </c>
      <c r="N3" s="3" t="s">
        <v>135</v>
      </c>
      <c r="O3" s="3">
        <v>500167117</v>
      </c>
      <c r="P3" s="5" t="s">
        <v>136</v>
      </c>
      <c r="Q3" s="3" t="s">
        <v>53</v>
      </c>
      <c r="R3" s="3" t="s">
        <v>46</v>
      </c>
      <c r="S3" s="4" t="s">
        <v>209</v>
      </c>
      <c r="T3" s="16">
        <v>42371</v>
      </c>
    </row>
    <row r="4" spans="1:20" ht="42.75" x14ac:dyDescent="0.2">
      <c r="A4" s="7">
        <v>3</v>
      </c>
      <c r="B4" s="3" t="s">
        <v>34</v>
      </c>
      <c r="C4" s="3" t="s">
        <v>35</v>
      </c>
      <c r="D4" s="3" t="s">
        <v>18</v>
      </c>
      <c r="E4" s="4" t="s">
        <v>276</v>
      </c>
      <c r="F4" s="3">
        <v>1010136902</v>
      </c>
      <c r="G4" s="4" t="s">
        <v>210</v>
      </c>
      <c r="H4" s="3">
        <v>114991006</v>
      </c>
      <c r="I4" s="3">
        <v>114991006</v>
      </c>
      <c r="J4" s="3" t="s">
        <v>18</v>
      </c>
      <c r="K4" s="3" t="s">
        <v>36</v>
      </c>
      <c r="L4" s="3">
        <v>548183225</v>
      </c>
      <c r="M4" s="5" t="s">
        <v>37</v>
      </c>
      <c r="N4" s="3" t="s">
        <v>38</v>
      </c>
      <c r="O4" s="3">
        <v>541745732</v>
      </c>
      <c r="P4" s="5" t="s">
        <v>39</v>
      </c>
      <c r="Q4" s="3" t="s">
        <v>40</v>
      </c>
      <c r="R4" s="4" t="s">
        <v>211</v>
      </c>
      <c r="S4" s="3" t="s">
        <v>38</v>
      </c>
      <c r="T4" s="16">
        <v>42372</v>
      </c>
    </row>
    <row r="5" spans="1:20" ht="42.75" x14ac:dyDescent="0.2">
      <c r="A5" s="7">
        <v>4</v>
      </c>
      <c r="B5" s="3" t="s">
        <v>55</v>
      </c>
      <c r="C5" s="3" t="s">
        <v>56</v>
      </c>
      <c r="D5" s="3" t="s">
        <v>56</v>
      </c>
      <c r="E5" s="4" t="s">
        <v>277</v>
      </c>
      <c r="F5" s="3">
        <v>101020488</v>
      </c>
      <c r="G5" s="3" t="s">
        <v>18</v>
      </c>
      <c r="H5" s="3">
        <v>114889977</v>
      </c>
      <c r="I5" s="3">
        <v>114884003</v>
      </c>
      <c r="J5" s="3" t="s">
        <v>137</v>
      </c>
      <c r="K5" s="3" t="s">
        <v>57</v>
      </c>
      <c r="L5" s="3">
        <v>500181112</v>
      </c>
      <c r="M5" s="5" t="s">
        <v>58</v>
      </c>
      <c r="N5" s="3" t="s">
        <v>59</v>
      </c>
      <c r="O5" s="3">
        <v>540647784</v>
      </c>
      <c r="P5" s="5" t="s">
        <v>138</v>
      </c>
      <c r="Q5" s="3" t="s">
        <v>60</v>
      </c>
      <c r="R5" s="3" t="s">
        <v>127</v>
      </c>
      <c r="S5" s="3" t="s">
        <v>55</v>
      </c>
      <c r="T5" s="16">
        <v>42373</v>
      </c>
    </row>
    <row r="6" spans="1:20" ht="71.25" x14ac:dyDescent="0.2">
      <c r="A6" s="7">
        <v>5</v>
      </c>
      <c r="B6" s="4" t="s">
        <v>156</v>
      </c>
      <c r="C6" s="3" t="s">
        <v>118</v>
      </c>
      <c r="D6" s="3" t="s">
        <v>119</v>
      </c>
      <c r="E6" s="4" t="s">
        <v>278</v>
      </c>
      <c r="F6" s="3">
        <v>1010389339</v>
      </c>
      <c r="G6" s="4" t="s">
        <v>120</v>
      </c>
      <c r="H6" s="3">
        <v>118120480</v>
      </c>
      <c r="I6" s="3">
        <v>114152170</v>
      </c>
      <c r="J6" s="3">
        <v>300344</v>
      </c>
      <c r="K6" s="4" t="s">
        <v>121</v>
      </c>
      <c r="L6" s="3">
        <v>555154201</v>
      </c>
      <c r="M6" s="5" t="s">
        <v>125</v>
      </c>
      <c r="N6" s="3" t="s">
        <v>122</v>
      </c>
      <c r="O6" s="3">
        <v>596630042</v>
      </c>
      <c r="P6" s="5" t="s">
        <v>126</v>
      </c>
      <c r="Q6" s="3" t="s">
        <v>157</v>
      </c>
      <c r="R6" s="4" t="s">
        <v>123</v>
      </c>
      <c r="S6" s="3" t="s">
        <v>124</v>
      </c>
      <c r="T6" s="16">
        <v>42374</v>
      </c>
    </row>
    <row r="7" spans="1:20" ht="28.5" x14ac:dyDescent="0.2">
      <c r="A7" s="7">
        <v>6</v>
      </c>
      <c r="B7" s="3" t="s">
        <v>71</v>
      </c>
      <c r="C7" s="3" t="s">
        <v>61</v>
      </c>
      <c r="D7" s="3" t="s">
        <v>18</v>
      </c>
      <c r="E7" s="4" t="s">
        <v>279</v>
      </c>
      <c r="F7" s="3">
        <v>1113000888</v>
      </c>
      <c r="G7" s="3" t="s">
        <v>62</v>
      </c>
      <c r="H7" s="3">
        <v>596229400</v>
      </c>
      <c r="I7" s="3" t="s">
        <v>18</v>
      </c>
      <c r="J7" s="3" t="s">
        <v>18</v>
      </c>
      <c r="K7" s="3" t="s">
        <v>79</v>
      </c>
      <c r="L7" s="3">
        <v>596229400</v>
      </c>
      <c r="M7" s="3" t="s">
        <v>43</v>
      </c>
      <c r="N7" s="3" t="s">
        <v>63</v>
      </c>
      <c r="O7" s="3">
        <v>548640261</v>
      </c>
      <c r="P7" s="5" t="s">
        <v>139</v>
      </c>
      <c r="Q7" s="3" t="s">
        <v>140</v>
      </c>
      <c r="R7" s="3" t="s">
        <v>64</v>
      </c>
      <c r="S7" s="3" t="s">
        <v>65</v>
      </c>
      <c r="T7" s="16">
        <v>42375</v>
      </c>
    </row>
    <row r="8" spans="1:20" ht="28.5" x14ac:dyDescent="0.2">
      <c r="A8" s="7">
        <v>7</v>
      </c>
      <c r="B8" s="3" t="s">
        <v>66</v>
      </c>
      <c r="C8" s="3" t="s">
        <v>18</v>
      </c>
      <c r="D8" s="3" t="s">
        <v>18</v>
      </c>
      <c r="E8" s="4" t="s">
        <v>280</v>
      </c>
      <c r="F8" s="3">
        <v>1010232675</v>
      </c>
      <c r="G8" s="3" t="s">
        <v>141</v>
      </c>
      <c r="H8" s="3">
        <v>114052626</v>
      </c>
      <c r="I8" s="3">
        <v>114055849</v>
      </c>
      <c r="J8" s="3" t="s">
        <v>18</v>
      </c>
      <c r="K8" s="3" t="s">
        <v>67</v>
      </c>
      <c r="L8" s="3">
        <v>555610684</v>
      </c>
      <c r="M8" s="5" t="s">
        <v>142</v>
      </c>
      <c r="N8" s="3" t="s">
        <v>143</v>
      </c>
      <c r="O8" s="3">
        <v>582716319</v>
      </c>
      <c r="P8" s="5" t="s">
        <v>144</v>
      </c>
      <c r="Q8" s="3" t="s">
        <v>145</v>
      </c>
      <c r="R8" s="3" t="s">
        <v>64</v>
      </c>
      <c r="S8" s="3" t="s">
        <v>68</v>
      </c>
      <c r="T8" s="16">
        <v>42376</v>
      </c>
    </row>
    <row r="9" spans="1:20" ht="28.5" x14ac:dyDescent="0.2">
      <c r="A9" s="7">
        <v>8</v>
      </c>
      <c r="B9" s="3" t="s">
        <v>221</v>
      </c>
      <c r="C9" s="3" t="s">
        <v>222</v>
      </c>
      <c r="D9" s="3"/>
      <c r="E9" s="4" t="s">
        <v>281</v>
      </c>
      <c r="F9" s="3">
        <v>1010393142</v>
      </c>
      <c r="G9" s="3"/>
      <c r="H9" s="3"/>
      <c r="I9" s="3"/>
      <c r="J9" s="3"/>
      <c r="K9" s="3" t="s">
        <v>223</v>
      </c>
      <c r="L9" s="3">
        <v>552040128</v>
      </c>
      <c r="M9" s="3"/>
      <c r="N9" s="3" t="s">
        <v>224</v>
      </c>
      <c r="O9" s="3"/>
      <c r="P9" s="3"/>
      <c r="Q9" s="3" t="s">
        <v>225</v>
      </c>
      <c r="R9" s="3"/>
      <c r="S9" s="3"/>
      <c r="T9" s="16">
        <v>42377</v>
      </c>
    </row>
    <row r="10" spans="1:20" ht="28.5" x14ac:dyDescent="0.2">
      <c r="A10" s="7">
        <v>9</v>
      </c>
      <c r="B10" s="3" t="s">
        <v>249</v>
      </c>
      <c r="C10" s="4" t="s">
        <v>250</v>
      </c>
      <c r="D10" s="3"/>
      <c r="E10" s="4" t="s">
        <v>282</v>
      </c>
      <c r="F10" s="3">
        <v>1010143064</v>
      </c>
      <c r="G10" s="3" t="s">
        <v>251</v>
      </c>
      <c r="H10" s="4" t="s">
        <v>252</v>
      </c>
      <c r="I10" s="3">
        <v>112829856</v>
      </c>
      <c r="J10" s="3">
        <v>89851</v>
      </c>
      <c r="K10" s="3" t="s">
        <v>253</v>
      </c>
      <c r="L10" s="3">
        <v>505466314</v>
      </c>
      <c r="M10" s="3"/>
      <c r="N10" s="3" t="s">
        <v>254</v>
      </c>
      <c r="O10" s="3">
        <v>549466486</v>
      </c>
      <c r="P10" s="3"/>
      <c r="Q10" s="3"/>
      <c r="R10" s="3"/>
      <c r="S10" s="3"/>
      <c r="T10" s="16">
        <v>42378</v>
      </c>
    </row>
    <row r="11" spans="1:20" ht="31.5" customHeight="1" x14ac:dyDescent="0.2">
      <c r="A11" s="7">
        <v>10</v>
      </c>
      <c r="B11" s="3" t="s">
        <v>114</v>
      </c>
      <c r="C11" s="3" t="s">
        <v>117</v>
      </c>
      <c r="D11" s="3" t="s">
        <v>43</v>
      </c>
      <c r="E11" s="4" t="s">
        <v>283</v>
      </c>
      <c r="F11" s="3">
        <v>1010256397</v>
      </c>
      <c r="G11" s="3" t="s">
        <v>18</v>
      </c>
      <c r="H11" s="3">
        <v>503157545</v>
      </c>
      <c r="I11" s="3" t="s">
        <v>18</v>
      </c>
      <c r="J11" s="3" t="s">
        <v>18</v>
      </c>
      <c r="K11" s="3" t="s">
        <v>115</v>
      </c>
      <c r="L11" s="3">
        <v>503157545</v>
      </c>
      <c r="M11" s="5" t="s">
        <v>18</v>
      </c>
      <c r="N11" s="3" t="s">
        <v>18</v>
      </c>
      <c r="O11" s="3" t="s">
        <v>18</v>
      </c>
      <c r="P11" s="5" t="s">
        <v>18</v>
      </c>
      <c r="Q11" s="3" t="s">
        <v>116</v>
      </c>
      <c r="R11" s="3" t="s">
        <v>113</v>
      </c>
      <c r="S11" s="4" t="s">
        <v>114</v>
      </c>
      <c r="T11" s="16">
        <v>42379</v>
      </c>
    </row>
    <row r="12" spans="1:20" ht="42.75" x14ac:dyDescent="0.2">
      <c r="A12" s="7">
        <v>11</v>
      </c>
      <c r="B12" s="3" t="s">
        <v>418</v>
      </c>
      <c r="C12" s="3"/>
      <c r="D12" s="3" t="s">
        <v>419</v>
      </c>
      <c r="E12" s="4" t="s">
        <v>420</v>
      </c>
      <c r="F12" s="3">
        <v>1010268113</v>
      </c>
      <c r="G12" s="4" t="s">
        <v>421</v>
      </c>
      <c r="H12" s="3">
        <v>112037379</v>
      </c>
      <c r="I12" s="3"/>
      <c r="J12" s="3"/>
      <c r="K12" s="3" t="s">
        <v>422</v>
      </c>
      <c r="L12" s="3">
        <v>591112561</v>
      </c>
      <c r="M12" s="5" t="s">
        <v>423</v>
      </c>
      <c r="N12" s="3" t="s">
        <v>426</v>
      </c>
      <c r="O12" s="3">
        <v>591870240</v>
      </c>
      <c r="P12" s="3"/>
      <c r="Q12" s="3" t="s">
        <v>424</v>
      </c>
      <c r="R12" s="3" t="s">
        <v>425</v>
      </c>
      <c r="S12" s="3" t="s">
        <v>426</v>
      </c>
      <c r="T12" s="16">
        <v>42380</v>
      </c>
    </row>
    <row r="13" spans="1:20" ht="42.75" x14ac:dyDescent="0.2">
      <c r="A13" s="7">
        <v>12</v>
      </c>
      <c r="B13" s="3" t="s">
        <v>431</v>
      </c>
      <c r="C13" s="3" t="s">
        <v>432</v>
      </c>
      <c r="D13" s="3" t="s">
        <v>433</v>
      </c>
      <c r="E13" s="4" t="s">
        <v>434</v>
      </c>
      <c r="F13" s="3">
        <v>1010997170</v>
      </c>
      <c r="G13" s="4" t="s">
        <v>435</v>
      </c>
      <c r="H13" s="3"/>
      <c r="I13" s="3"/>
      <c r="J13" s="3">
        <v>25050</v>
      </c>
      <c r="K13" s="3" t="s">
        <v>436</v>
      </c>
      <c r="L13" s="3">
        <v>555616266</v>
      </c>
      <c r="M13" s="5" t="s">
        <v>437</v>
      </c>
      <c r="N13" s="3" t="s">
        <v>438</v>
      </c>
      <c r="O13" s="3">
        <v>555698569</v>
      </c>
      <c r="P13" s="5" t="s">
        <v>439</v>
      </c>
      <c r="Q13" s="3" t="s">
        <v>440</v>
      </c>
      <c r="R13" s="3" t="s">
        <v>441</v>
      </c>
      <c r="S13" s="3" t="s">
        <v>442</v>
      </c>
      <c r="T13" s="16">
        <v>42381</v>
      </c>
    </row>
    <row r="14" spans="1:20" ht="28.5" x14ac:dyDescent="0.2">
      <c r="A14" s="7">
        <v>13</v>
      </c>
      <c r="B14" s="3" t="s">
        <v>443</v>
      </c>
      <c r="C14" s="3" t="s">
        <v>444</v>
      </c>
      <c r="D14" s="3"/>
      <c r="E14" s="4" t="s">
        <v>445</v>
      </c>
      <c r="F14" s="3">
        <v>1010286560</v>
      </c>
      <c r="G14" s="3" t="s">
        <v>446</v>
      </c>
      <c r="H14" s="3">
        <v>112913335</v>
      </c>
      <c r="I14" s="3">
        <v>112913335</v>
      </c>
      <c r="J14" s="3"/>
      <c r="K14" s="3" t="s">
        <v>447</v>
      </c>
      <c r="L14" s="3">
        <v>555401562</v>
      </c>
      <c r="M14" s="5" t="s">
        <v>448</v>
      </c>
      <c r="N14" s="3" t="s">
        <v>449</v>
      </c>
      <c r="O14" s="3">
        <v>542079828</v>
      </c>
      <c r="P14" s="5" t="s">
        <v>450</v>
      </c>
      <c r="Q14" s="3" t="s">
        <v>451</v>
      </c>
      <c r="R14" s="3" t="s">
        <v>102</v>
      </c>
      <c r="S14" s="3" t="s">
        <v>443</v>
      </c>
      <c r="T14" s="16">
        <v>42382</v>
      </c>
    </row>
    <row r="15" spans="1:20" ht="28.5" x14ac:dyDescent="0.2">
      <c r="A15" s="7">
        <v>14</v>
      </c>
      <c r="B15" s="3" t="s">
        <v>452</v>
      </c>
      <c r="C15" s="3" t="s">
        <v>453</v>
      </c>
      <c r="D15" s="3" t="s">
        <v>454</v>
      </c>
      <c r="E15" s="3" t="s">
        <v>455</v>
      </c>
      <c r="F15" s="3">
        <v>1010379961</v>
      </c>
      <c r="G15" s="4" t="s">
        <v>456</v>
      </c>
      <c r="H15" s="3">
        <v>114713393</v>
      </c>
      <c r="I15" s="3">
        <v>114713393</v>
      </c>
      <c r="J15" s="4" t="s">
        <v>457</v>
      </c>
      <c r="K15" s="3" t="s">
        <v>458</v>
      </c>
      <c r="L15" s="3">
        <v>508050114</v>
      </c>
      <c r="M15" s="5" t="s">
        <v>459</v>
      </c>
      <c r="N15" s="3"/>
      <c r="O15" s="3"/>
      <c r="P15" s="3"/>
      <c r="Q15" s="3" t="s">
        <v>460</v>
      </c>
      <c r="R15" s="3" t="s">
        <v>196</v>
      </c>
      <c r="S15" s="3" t="s">
        <v>461</v>
      </c>
      <c r="T15" s="16">
        <v>42383</v>
      </c>
    </row>
    <row r="16" spans="1:20" ht="28.5" x14ac:dyDescent="0.2">
      <c r="A16" s="7">
        <v>14</v>
      </c>
      <c r="B16" s="4" t="s">
        <v>462</v>
      </c>
      <c r="C16" s="3"/>
      <c r="D16" s="3"/>
      <c r="E16" s="4" t="s">
        <v>463</v>
      </c>
      <c r="F16" s="3">
        <v>1010014418</v>
      </c>
      <c r="G16" s="3" t="s">
        <v>464</v>
      </c>
      <c r="H16" s="3"/>
      <c r="I16" s="3"/>
      <c r="J16" s="4" t="s">
        <v>465</v>
      </c>
      <c r="K16" s="3" t="s">
        <v>466</v>
      </c>
      <c r="L16" s="3">
        <v>502859299</v>
      </c>
      <c r="M16" s="3"/>
      <c r="N16" s="3"/>
      <c r="O16" s="3"/>
      <c r="P16" s="3"/>
      <c r="Q16" s="3" t="s">
        <v>467</v>
      </c>
      <c r="R16" s="3"/>
      <c r="S16" s="3"/>
      <c r="T16" s="16">
        <v>42384</v>
      </c>
    </row>
    <row r="17" spans="1:20" ht="28.5" x14ac:dyDescent="0.2">
      <c r="A17" s="7">
        <v>15</v>
      </c>
      <c r="B17" s="3" t="s">
        <v>474</v>
      </c>
      <c r="C17" s="3"/>
      <c r="D17" s="3"/>
      <c r="E17" s="4" t="s">
        <v>468</v>
      </c>
      <c r="F17" s="3">
        <v>1111001983</v>
      </c>
      <c r="G17" s="4" t="s">
        <v>469</v>
      </c>
      <c r="H17" s="3"/>
      <c r="I17" s="3"/>
      <c r="J17" s="3">
        <v>55681</v>
      </c>
      <c r="K17" s="3" t="s">
        <v>470</v>
      </c>
      <c r="L17" s="3">
        <v>554445225</v>
      </c>
      <c r="M17" s="5" t="s">
        <v>471</v>
      </c>
      <c r="N17" s="3" t="s">
        <v>472</v>
      </c>
      <c r="O17" s="3">
        <v>536166426</v>
      </c>
      <c r="P17" s="3"/>
      <c r="Q17" s="3" t="s">
        <v>473</v>
      </c>
      <c r="R17" s="3" t="s">
        <v>196</v>
      </c>
      <c r="S17" s="3"/>
      <c r="T17" s="16">
        <v>42385</v>
      </c>
    </row>
    <row r="18" spans="1:20" ht="15" x14ac:dyDescent="0.2">
      <c r="A18" s="7">
        <v>16</v>
      </c>
      <c r="B18" s="3" t="s">
        <v>539</v>
      </c>
      <c r="C18" s="3"/>
      <c r="D18" s="3"/>
      <c r="E18" s="4" t="s">
        <v>540</v>
      </c>
      <c r="F18" s="3">
        <v>1010153624</v>
      </c>
      <c r="G18" s="4" t="s">
        <v>377</v>
      </c>
      <c r="H18" s="3">
        <v>112335711</v>
      </c>
      <c r="I18" s="3">
        <v>112335712</v>
      </c>
      <c r="J18" s="3"/>
      <c r="K18" s="4" t="s">
        <v>541</v>
      </c>
      <c r="L18" s="3">
        <v>551349807</v>
      </c>
      <c r="M18" s="3"/>
      <c r="N18" s="3" t="s">
        <v>542</v>
      </c>
      <c r="O18" s="3">
        <v>551349807</v>
      </c>
      <c r="P18" s="3"/>
      <c r="Q18" s="3" t="s">
        <v>543</v>
      </c>
      <c r="R18" s="3" t="s">
        <v>306</v>
      </c>
      <c r="S18" s="3" t="s">
        <v>544</v>
      </c>
      <c r="T18" s="16">
        <v>42386</v>
      </c>
    </row>
    <row r="19" spans="1:20" ht="28.5" x14ac:dyDescent="0.2">
      <c r="A19" s="7">
        <v>17</v>
      </c>
      <c r="B19" s="3" t="s">
        <v>554</v>
      </c>
      <c r="C19" s="3" t="s">
        <v>555</v>
      </c>
      <c r="D19" s="3" t="s">
        <v>556</v>
      </c>
      <c r="E19" s="4" t="s">
        <v>557</v>
      </c>
      <c r="F19" s="3">
        <v>1010398719</v>
      </c>
      <c r="G19" s="3" t="s">
        <v>558</v>
      </c>
      <c r="H19" s="3">
        <v>112147842</v>
      </c>
      <c r="I19" s="3">
        <v>112295494</v>
      </c>
      <c r="J19" s="3" t="s">
        <v>559</v>
      </c>
      <c r="K19" s="3" t="s">
        <v>560</v>
      </c>
      <c r="L19" s="3">
        <v>580482030</v>
      </c>
      <c r="M19" s="3"/>
      <c r="N19" s="3" t="s">
        <v>561</v>
      </c>
      <c r="O19" s="3">
        <v>550715566</v>
      </c>
      <c r="P19" s="3"/>
      <c r="Q19" s="3" t="s">
        <v>562</v>
      </c>
      <c r="R19" s="3" t="s">
        <v>85</v>
      </c>
      <c r="S19" s="3" t="s">
        <v>563</v>
      </c>
      <c r="T19" s="16">
        <v>42387</v>
      </c>
    </row>
    <row r="20" spans="1:20" ht="28.5" x14ac:dyDescent="0.2">
      <c r="A20" s="7">
        <v>18</v>
      </c>
      <c r="B20" s="3" t="s">
        <v>606</v>
      </c>
      <c r="C20" s="3" t="s">
        <v>607</v>
      </c>
      <c r="D20" s="3" t="s">
        <v>608</v>
      </c>
      <c r="E20" s="3" t="s">
        <v>609</v>
      </c>
      <c r="F20" s="3">
        <v>1010538763</v>
      </c>
      <c r="G20" s="4" t="s">
        <v>610</v>
      </c>
      <c r="H20" s="3"/>
      <c r="I20" s="3"/>
      <c r="J20" s="3"/>
      <c r="K20" s="3"/>
      <c r="L20" s="3"/>
      <c r="M20" s="5" t="s">
        <v>611</v>
      </c>
      <c r="N20" s="3" t="s">
        <v>612</v>
      </c>
      <c r="O20" s="3">
        <v>541623371</v>
      </c>
      <c r="P20" s="3"/>
      <c r="Q20" s="3" t="s">
        <v>200</v>
      </c>
      <c r="R20" s="3"/>
      <c r="S20" s="3"/>
      <c r="T20" s="16">
        <v>42388</v>
      </c>
    </row>
    <row r="21" spans="1:20" ht="42.75" x14ac:dyDescent="0.2">
      <c r="A21" s="7">
        <v>19</v>
      </c>
      <c r="B21" s="3" t="s">
        <v>600</v>
      </c>
      <c r="C21" s="4" t="s">
        <v>602</v>
      </c>
      <c r="D21" s="3"/>
      <c r="E21" s="4" t="s">
        <v>601</v>
      </c>
      <c r="F21" s="3">
        <v>1010337739</v>
      </c>
      <c r="G21" s="4" t="s">
        <v>603</v>
      </c>
      <c r="H21" s="3"/>
      <c r="I21" s="3"/>
      <c r="J21" s="3"/>
      <c r="K21" s="3" t="s">
        <v>604</v>
      </c>
      <c r="L21" s="3">
        <v>535835331</v>
      </c>
      <c r="M21" s="3"/>
      <c r="N21" s="3"/>
      <c r="O21" s="3"/>
      <c r="P21" s="3"/>
      <c r="Q21" s="3" t="s">
        <v>605</v>
      </c>
      <c r="R21" s="3"/>
      <c r="S21" s="3"/>
      <c r="T21" s="16">
        <v>42389</v>
      </c>
    </row>
    <row r="22" spans="1:20" ht="28.5" x14ac:dyDescent="0.2">
      <c r="A22" s="7">
        <v>20</v>
      </c>
      <c r="B22" s="3" t="s">
        <v>613</v>
      </c>
      <c r="C22" s="3"/>
      <c r="D22" s="3"/>
      <c r="E22" s="4" t="s">
        <v>614</v>
      </c>
      <c r="F22" s="3">
        <v>1010360468</v>
      </c>
      <c r="G22" s="3" t="s">
        <v>615</v>
      </c>
      <c r="H22" s="3"/>
      <c r="I22" s="3"/>
      <c r="J22" s="3"/>
      <c r="K22" s="3" t="s">
        <v>616</v>
      </c>
      <c r="L22" s="3"/>
      <c r="M22" s="3"/>
      <c r="N22" s="3" t="s">
        <v>617</v>
      </c>
      <c r="O22" s="3">
        <v>566290786</v>
      </c>
      <c r="P22" s="3"/>
      <c r="Q22" s="3" t="s">
        <v>618</v>
      </c>
      <c r="R22" s="3"/>
      <c r="S22" s="3"/>
      <c r="T22" s="16">
        <v>42390</v>
      </c>
    </row>
    <row r="23" spans="1:20" ht="28.5" x14ac:dyDescent="0.2">
      <c r="A23" s="7">
        <v>21</v>
      </c>
      <c r="B23" s="4" t="s">
        <v>619</v>
      </c>
      <c r="C23" s="3"/>
      <c r="D23" s="3"/>
      <c r="E23" s="4" t="s">
        <v>620</v>
      </c>
      <c r="F23" s="3">
        <v>1010308096</v>
      </c>
      <c r="G23" s="3" t="s">
        <v>621</v>
      </c>
      <c r="H23" s="3"/>
      <c r="I23" s="3"/>
      <c r="J23" s="3"/>
      <c r="K23" s="3" t="s">
        <v>622</v>
      </c>
      <c r="L23" s="3"/>
      <c r="M23" s="3"/>
      <c r="N23" s="3" t="s">
        <v>623</v>
      </c>
      <c r="O23" s="3">
        <v>547856498</v>
      </c>
      <c r="P23" s="3"/>
      <c r="Q23" s="3" t="s">
        <v>624</v>
      </c>
      <c r="R23" s="3"/>
      <c r="S23" s="3"/>
      <c r="T23" s="16">
        <v>42391</v>
      </c>
    </row>
    <row r="24" spans="1:20" ht="28.5" x14ac:dyDescent="0.2">
      <c r="A24" s="7">
        <v>22</v>
      </c>
      <c r="B24" s="3" t="s">
        <v>635</v>
      </c>
      <c r="C24" s="3" t="s">
        <v>636</v>
      </c>
      <c r="D24" s="3" t="s">
        <v>637</v>
      </c>
      <c r="E24" s="4" t="s">
        <v>638</v>
      </c>
      <c r="F24" s="3">
        <v>101067233</v>
      </c>
      <c r="G24" s="4" t="s">
        <v>639</v>
      </c>
      <c r="H24" s="3">
        <v>118100103</v>
      </c>
      <c r="I24" s="3">
        <v>40407</v>
      </c>
      <c r="J24" s="3"/>
      <c r="K24" s="3" t="s">
        <v>640</v>
      </c>
      <c r="L24" s="3">
        <v>509491790</v>
      </c>
      <c r="M24" s="5" t="s">
        <v>641</v>
      </c>
      <c r="N24" s="3"/>
      <c r="O24" s="3"/>
      <c r="P24" s="3"/>
      <c r="Q24" s="4" t="s">
        <v>643</v>
      </c>
      <c r="R24" s="3" t="s">
        <v>85</v>
      </c>
      <c r="S24" s="4" t="s">
        <v>642</v>
      </c>
      <c r="T24" s="16">
        <v>42392</v>
      </c>
    </row>
    <row r="25" spans="1:20" ht="28.5" x14ac:dyDescent="0.2">
      <c r="A25" s="7">
        <v>23</v>
      </c>
      <c r="B25" s="3" t="s">
        <v>662</v>
      </c>
      <c r="C25" s="3" t="s">
        <v>663</v>
      </c>
      <c r="D25" s="3"/>
      <c r="E25" s="4" t="s">
        <v>664</v>
      </c>
      <c r="F25" s="3">
        <v>1010338618</v>
      </c>
      <c r="G25" s="4" t="s">
        <v>665</v>
      </c>
      <c r="H25" s="3">
        <v>112986015</v>
      </c>
      <c r="I25" s="3">
        <v>112986015</v>
      </c>
      <c r="J25" s="3" t="s">
        <v>666</v>
      </c>
      <c r="K25" s="3" t="s">
        <v>667</v>
      </c>
      <c r="L25" s="3">
        <v>580011688</v>
      </c>
      <c r="M25" s="5" t="s">
        <v>670</v>
      </c>
      <c r="N25" s="3" t="s">
        <v>668</v>
      </c>
      <c r="O25" s="3">
        <v>597778140</v>
      </c>
      <c r="P25" s="5" t="s">
        <v>669</v>
      </c>
      <c r="Q25" s="4" t="s">
        <v>671</v>
      </c>
      <c r="R25" s="3" t="s">
        <v>672</v>
      </c>
      <c r="S25" s="4" t="s">
        <v>673</v>
      </c>
      <c r="T25" s="16">
        <v>42393</v>
      </c>
    </row>
    <row r="26" spans="1:20" ht="28.5" x14ac:dyDescent="0.2">
      <c r="A26" s="7">
        <v>24</v>
      </c>
      <c r="B26" s="3" t="s">
        <v>697</v>
      </c>
      <c r="C26" s="3"/>
      <c r="D26" s="3"/>
      <c r="E26" s="4" t="s">
        <v>698</v>
      </c>
      <c r="F26" s="3">
        <v>1010381571</v>
      </c>
      <c r="G26" s="4" t="s">
        <v>699</v>
      </c>
      <c r="H26" s="3">
        <v>112462806</v>
      </c>
      <c r="I26" s="3">
        <v>112462806</v>
      </c>
      <c r="J26" s="3"/>
      <c r="K26" s="3" t="s">
        <v>700</v>
      </c>
      <c r="L26" s="3">
        <v>554335256</v>
      </c>
      <c r="M26" s="5"/>
      <c r="N26" s="3" t="s">
        <v>701</v>
      </c>
      <c r="O26" s="3">
        <v>5556626598</v>
      </c>
      <c r="P26" s="3"/>
      <c r="Q26" s="4" t="s">
        <v>652</v>
      </c>
      <c r="R26" s="3"/>
      <c r="S26" s="4"/>
      <c r="T26" s="16">
        <v>42394</v>
      </c>
    </row>
    <row r="27" spans="1:20" ht="28.5" x14ac:dyDescent="0.2">
      <c r="A27" s="7">
        <v>25</v>
      </c>
      <c r="B27" s="3" t="s">
        <v>702</v>
      </c>
      <c r="C27" s="3" t="s">
        <v>703</v>
      </c>
      <c r="D27" s="3" t="s">
        <v>704</v>
      </c>
      <c r="E27" s="4" t="s">
        <v>705</v>
      </c>
      <c r="F27" s="3">
        <v>1010386246</v>
      </c>
      <c r="G27" s="4" t="s">
        <v>706</v>
      </c>
      <c r="H27" s="3">
        <v>920003979</v>
      </c>
      <c r="I27" s="4" t="s">
        <v>707</v>
      </c>
      <c r="J27" s="4" t="s">
        <v>708</v>
      </c>
      <c r="K27" s="3" t="s">
        <v>709</v>
      </c>
      <c r="L27" s="3">
        <v>505448543</v>
      </c>
      <c r="M27" s="5" t="s">
        <v>710</v>
      </c>
      <c r="N27" s="3" t="s">
        <v>711</v>
      </c>
      <c r="O27" s="3">
        <v>557833322</v>
      </c>
      <c r="P27" s="5" t="s">
        <v>712</v>
      </c>
      <c r="Q27" s="4" t="s">
        <v>713</v>
      </c>
      <c r="R27" s="3" t="s">
        <v>491</v>
      </c>
      <c r="S27" s="4"/>
      <c r="T27" s="16">
        <v>42395</v>
      </c>
    </row>
    <row r="28" spans="1:20" ht="28.5" x14ac:dyDescent="0.2">
      <c r="A28" s="7">
        <v>26</v>
      </c>
      <c r="B28" s="4" t="s">
        <v>714</v>
      </c>
      <c r="C28" s="3"/>
      <c r="D28" s="3"/>
      <c r="E28" s="4" t="s">
        <v>715</v>
      </c>
      <c r="F28" s="3">
        <v>4650067987</v>
      </c>
      <c r="G28" s="4" t="s">
        <v>716</v>
      </c>
      <c r="H28" s="3"/>
      <c r="I28" s="3"/>
      <c r="J28" s="3"/>
      <c r="K28" s="3" t="s">
        <v>717</v>
      </c>
      <c r="L28" s="3">
        <v>535858684</v>
      </c>
      <c r="M28" s="5"/>
      <c r="N28" s="3" t="s">
        <v>718</v>
      </c>
      <c r="O28" s="3">
        <v>558719625</v>
      </c>
      <c r="P28" s="3"/>
      <c r="Q28" s="4"/>
      <c r="R28" s="3"/>
      <c r="S28" s="4"/>
    </row>
    <row r="29" spans="1:20" ht="15" x14ac:dyDescent="0.2">
      <c r="A29" s="7"/>
      <c r="B29" s="3"/>
      <c r="C29" s="3"/>
      <c r="D29" s="3"/>
      <c r="E29" s="4"/>
      <c r="F29" s="3"/>
      <c r="G29" s="4"/>
      <c r="H29" s="3"/>
      <c r="I29" s="3"/>
      <c r="J29" s="3"/>
      <c r="K29" s="3"/>
      <c r="L29" s="3"/>
      <c r="M29" s="5"/>
      <c r="N29" s="3"/>
      <c r="O29" s="3"/>
      <c r="P29" s="3"/>
      <c r="Q29" s="4"/>
      <c r="R29" s="3"/>
      <c r="S29" s="4"/>
    </row>
    <row r="30" spans="1:20" ht="15" x14ac:dyDescent="0.2">
      <c r="A30" s="7"/>
      <c r="B30" s="3"/>
      <c r="C30" s="3"/>
      <c r="D30" s="3"/>
      <c r="E30" s="4"/>
      <c r="F30" s="3"/>
      <c r="G30" s="4"/>
      <c r="H30" s="3"/>
      <c r="I30" s="3"/>
      <c r="J30" s="3"/>
      <c r="K30" s="3"/>
      <c r="L30" s="3"/>
      <c r="M30" s="5"/>
      <c r="N30" s="3"/>
      <c r="O30" s="3"/>
      <c r="P30" s="3"/>
      <c r="Q30" s="4"/>
      <c r="R30" s="3"/>
      <c r="S30" s="4"/>
    </row>
    <row r="31" spans="1:20" ht="15" x14ac:dyDescent="0.2">
      <c r="A31" s="7"/>
      <c r="B31" s="3"/>
      <c r="C31" s="3"/>
      <c r="D31" s="3"/>
      <c r="E31" s="4"/>
      <c r="F31" s="3"/>
      <c r="G31" s="4"/>
      <c r="H31" s="3"/>
      <c r="I31" s="3"/>
      <c r="J31" s="3"/>
      <c r="K31" s="3"/>
      <c r="L31" s="3"/>
      <c r="M31" s="5"/>
      <c r="N31" s="3"/>
      <c r="O31" s="3"/>
      <c r="P31" s="3"/>
      <c r="Q31" s="4"/>
      <c r="R31" s="3"/>
      <c r="S31" s="4"/>
    </row>
    <row r="32" spans="1:20" ht="15" x14ac:dyDescent="0.2">
      <c r="A32" s="7"/>
      <c r="B32" s="3"/>
      <c r="C32" s="3"/>
      <c r="D32" s="3"/>
      <c r="E32" s="4"/>
      <c r="F32" s="3"/>
      <c r="G32" s="4"/>
      <c r="H32" s="3"/>
      <c r="I32" s="3"/>
      <c r="J32" s="3"/>
      <c r="K32" s="3"/>
      <c r="L32" s="3"/>
      <c r="M32" s="5"/>
      <c r="N32" s="3"/>
      <c r="O32" s="3"/>
      <c r="P32" s="3"/>
      <c r="Q32" s="4"/>
      <c r="R32" s="3"/>
      <c r="S32" s="4"/>
    </row>
    <row r="33" spans="1:19" ht="15" x14ac:dyDescent="0.2">
      <c r="A33" s="7"/>
      <c r="B33" s="3"/>
      <c r="C33" s="3"/>
      <c r="D33" s="3"/>
      <c r="E33" s="4"/>
      <c r="F33" s="3"/>
      <c r="G33" s="4"/>
      <c r="H33" s="3"/>
      <c r="I33" s="3"/>
      <c r="J33" s="3"/>
      <c r="K33" s="3"/>
      <c r="L33" s="3"/>
      <c r="M33" s="5"/>
      <c r="N33" s="3"/>
      <c r="O33" s="3"/>
      <c r="P33" s="3"/>
      <c r="Q33" s="4"/>
      <c r="R33" s="3"/>
      <c r="S33" s="4"/>
    </row>
    <row r="34" spans="1:19" ht="15" x14ac:dyDescent="0.2">
      <c r="A34" s="7"/>
      <c r="B34" s="3"/>
      <c r="C34" s="3"/>
      <c r="D34" s="3"/>
      <c r="E34" s="4"/>
      <c r="F34" s="3"/>
      <c r="G34" s="4"/>
      <c r="H34" s="3"/>
      <c r="I34" s="3"/>
      <c r="J34" s="3"/>
      <c r="K34" s="3"/>
      <c r="L34" s="3"/>
      <c r="M34" s="5"/>
      <c r="N34" s="3"/>
      <c r="O34" s="3"/>
      <c r="P34" s="3"/>
      <c r="Q34" s="4"/>
      <c r="R34" s="3"/>
      <c r="S34" s="4"/>
    </row>
    <row r="35" spans="1:19" ht="15" x14ac:dyDescent="0.2">
      <c r="A35" s="7"/>
      <c r="B35" s="3"/>
      <c r="C35" s="3"/>
      <c r="D35" s="3"/>
      <c r="E35" s="4"/>
      <c r="F35" s="3"/>
      <c r="G35" s="4"/>
      <c r="H35" s="3"/>
      <c r="I35" s="3"/>
      <c r="J35" s="3"/>
      <c r="K35" s="3"/>
      <c r="L35" s="3"/>
      <c r="M35" s="5"/>
      <c r="N35" s="3"/>
      <c r="O35" s="3"/>
      <c r="P35" s="3"/>
      <c r="Q35" s="4"/>
      <c r="R35" s="3"/>
      <c r="S35" s="4"/>
    </row>
    <row r="36" spans="1:19" ht="15" x14ac:dyDescent="0.2">
      <c r="A36" s="7"/>
      <c r="B36" s="3"/>
      <c r="C36" s="3"/>
      <c r="D36" s="3"/>
      <c r="E36" s="4"/>
      <c r="F36" s="3"/>
      <c r="G36" s="4"/>
      <c r="H36" s="3"/>
      <c r="I36" s="3"/>
      <c r="J36" s="3"/>
      <c r="K36" s="3"/>
      <c r="L36" s="3"/>
      <c r="M36" s="5"/>
      <c r="N36" s="3"/>
      <c r="O36" s="3"/>
      <c r="P36" s="3"/>
      <c r="Q36" s="4"/>
      <c r="R36" s="3"/>
      <c r="S36" s="4"/>
    </row>
    <row r="37" spans="1:19" ht="15" x14ac:dyDescent="0.2">
      <c r="A37" s="7"/>
      <c r="B37" s="3"/>
      <c r="C37" s="3"/>
      <c r="D37" s="3"/>
      <c r="E37" s="4"/>
      <c r="F37" s="3"/>
      <c r="G37" s="4"/>
      <c r="H37" s="3"/>
      <c r="I37" s="3"/>
      <c r="J37" s="3"/>
      <c r="K37" s="3"/>
      <c r="L37" s="3"/>
      <c r="M37" s="5"/>
      <c r="N37" s="3"/>
      <c r="O37" s="3"/>
      <c r="P37" s="3"/>
      <c r="Q37" s="4"/>
      <c r="R37" s="3"/>
      <c r="S37" s="4"/>
    </row>
    <row r="38" spans="1:19" ht="15" x14ac:dyDescent="0.2">
      <c r="A38" s="7"/>
      <c r="B38" s="3"/>
      <c r="C38" s="3"/>
      <c r="D38" s="3"/>
      <c r="E38" s="4"/>
      <c r="F38" s="3"/>
      <c r="G38" s="4"/>
      <c r="H38" s="3"/>
      <c r="I38" s="3"/>
      <c r="J38" s="3"/>
      <c r="K38" s="3"/>
      <c r="L38" s="3"/>
      <c r="M38" s="5"/>
      <c r="N38" s="3"/>
      <c r="O38" s="3"/>
      <c r="P38" s="3"/>
      <c r="Q38" s="4"/>
      <c r="R38" s="3"/>
      <c r="S38" s="4"/>
    </row>
    <row r="39" spans="1:19" ht="15" x14ac:dyDescent="0.2">
      <c r="A39" s="7"/>
      <c r="B39" s="3"/>
      <c r="C39" s="3"/>
      <c r="D39" s="3"/>
      <c r="E39" s="4"/>
      <c r="F39" s="3"/>
      <c r="G39" s="4"/>
      <c r="H39" s="3"/>
      <c r="I39" s="3"/>
      <c r="J39" s="3"/>
      <c r="K39" s="3"/>
      <c r="L39" s="3"/>
      <c r="M39" s="5"/>
      <c r="N39" s="3"/>
      <c r="O39" s="3"/>
      <c r="P39" s="3"/>
      <c r="Q39" s="4"/>
      <c r="R39" s="3"/>
      <c r="S39" s="4"/>
    </row>
    <row r="40" spans="1:19" ht="15" x14ac:dyDescent="0.2">
      <c r="A40" s="7"/>
      <c r="B40" s="3"/>
      <c r="C40" s="3"/>
      <c r="D40" s="3"/>
      <c r="E40" s="4"/>
      <c r="F40" s="3"/>
      <c r="G40" s="4"/>
      <c r="H40" s="3"/>
      <c r="I40" s="3"/>
      <c r="J40" s="3"/>
      <c r="K40" s="3"/>
      <c r="L40" s="3"/>
      <c r="M40" s="5"/>
      <c r="N40" s="3"/>
      <c r="O40" s="3"/>
      <c r="P40" s="3"/>
      <c r="Q40" s="4"/>
      <c r="R40" s="3"/>
      <c r="S40" s="4"/>
    </row>
    <row r="41" spans="1:19" ht="15" x14ac:dyDescent="0.2">
      <c r="A41" s="7"/>
      <c r="B41" s="3"/>
      <c r="C41" s="3"/>
      <c r="D41" s="3"/>
      <c r="E41" s="4"/>
      <c r="F41" s="3"/>
      <c r="G41" s="4"/>
      <c r="H41" s="3"/>
      <c r="I41" s="3"/>
      <c r="J41" s="3"/>
      <c r="K41" s="3"/>
      <c r="L41" s="3"/>
      <c r="M41" s="5"/>
      <c r="N41" s="3"/>
      <c r="O41" s="3"/>
      <c r="P41" s="3"/>
      <c r="Q41" s="4"/>
      <c r="R41" s="3"/>
      <c r="S41" s="4"/>
    </row>
    <row r="42" spans="1:19" ht="15" x14ac:dyDescent="0.2">
      <c r="A42" s="7"/>
      <c r="B42" s="3"/>
      <c r="C42" s="3"/>
      <c r="D42" s="3"/>
      <c r="E42" s="4"/>
      <c r="F42" s="3"/>
      <c r="G42" s="4"/>
      <c r="H42" s="3"/>
      <c r="I42" s="3"/>
      <c r="J42" s="3"/>
      <c r="K42" s="3"/>
      <c r="L42" s="3"/>
      <c r="M42" s="5"/>
      <c r="N42" s="3"/>
      <c r="O42" s="3"/>
      <c r="P42" s="3"/>
      <c r="Q42" s="4"/>
      <c r="R42" s="3"/>
      <c r="S42" s="4"/>
    </row>
    <row r="43" spans="1:19" ht="15" x14ac:dyDescent="0.2">
      <c r="A43" s="7"/>
      <c r="B43" s="3"/>
      <c r="C43" s="3"/>
      <c r="D43" s="3"/>
      <c r="E43" s="4"/>
      <c r="F43" s="3"/>
      <c r="G43" s="4"/>
      <c r="H43" s="3"/>
      <c r="I43" s="3"/>
      <c r="J43" s="3"/>
      <c r="K43" s="3"/>
      <c r="L43" s="3"/>
      <c r="M43" s="5"/>
      <c r="N43" s="3"/>
      <c r="O43" s="3"/>
      <c r="P43" s="3"/>
      <c r="Q43" s="4"/>
      <c r="R43" s="3"/>
      <c r="S43" s="4"/>
    </row>
    <row r="44" spans="1:19" ht="15" x14ac:dyDescent="0.2">
      <c r="A44" s="7"/>
      <c r="B44" s="3"/>
      <c r="C44" s="3"/>
      <c r="D44" s="3"/>
      <c r="E44" s="4"/>
      <c r="F44" s="3"/>
      <c r="G44" s="4"/>
      <c r="H44" s="3"/>
      <c r="I44" s="3"/>
      <c r="J44" s="3"/>
      <c r="K44" s="3"/>
      <c r="L44" s="3"/>
      <c r="M44" s="5"/>
      <c r="N44" s="3"/>
      <c r="O44" s="3"/>
      <c r="P44" s="3"/>
      <c r="Q44" s="4"/>
      <c r="R44" s="3"/>
      <c r="S44" s="4"/>
    </row>
    <row r="45" spans="1:19" ht="15" x14ac:dyDescent="0.2">
      <c r="A45" s="7"/>
      <c r="B45" s="3"/>
      <c r="C45" s="3"/>
      <c r="D45" s="3"/>
      <c r="E45" s="4"/>
      <c r="F45" s="3"/>
      <c r="G45" s="4"/>
      <c r="H45" s="3"/>
      <c r="I45" s="3"/>
      <c r="J45" s="3"/>
      <c r="K45" s="3"/>
      <c r="L45" s="3"/>
      <c r="M45" s="5"/>
      <c r="N45" s="3"/>
      <c r="O45" s="3"/>
      <c r="P45" s="3"/>
      <c r="Q45" s="4"/>
      <c r="R45" s="3"/>
      <c r="S45" s="4"/>
    </row>
    <row r="46" spans="1:19" ht="15" x14ac:dyDescent="0.2">
      <c r="A46" s="7"/>
      <c r="B46" s="3"/>
      <c r="C46" s="3"/>
      <c r="D46" s="3"/>
      <c r="E46" s="4"/>
      <c r="F46" s="3"/>
      <c r="G46" s="4"/>
      <c r="H46" s="3"/>
      <c r="I46" s="3"/>
      <c r="J46" s="3"/>
      <c r="K46" s="3"/>
      <c r="L46" s="3"/>
      <c r="M46" s="5"/>
      <c r="N46" s="3"/>
      <c r="O46" s="3"/>
      <c r="P46" s="3"/>
      <c r="Q46" s="4"/>
      <c r="R46" s="3"/>
      <c r="S46" s="4"/>
    </row>
    <row r="47" spans="1:19" ht="15" x14ac:dyDescent="0.2">
      <c r="A47" s="7"/>
      <c r="B47" s="3"/>
      <c r="C47" s="3"/>
      <c r="D47" s="3"/>
      <c r="E47" s="4"/>
      <c r="F47" s="3"/>
      <c r="G47" s="4"/>
      <c r="H47" s="3"/>
      <c r="I47" s="3"/>
      <c r="J47" s="3"/>
      <c r="K47" s="3"/>
      <c r="L47" s="3"/>
      <c r="M47" s="5"/>
      <c r="N47" s="3"/>
      <c r="O47" s="3"/>
      <c r="P47" s="3"/>
      <c r="Q47" s="4"/>
      <c r="R47" s="3"/>
      <c r="S47" s="4"/>
    </row>
    <row r="48" spans="1:19" ht="15" x14ac:dyDescent="0.2">
      <c r="A48" s="7"/>
      <c r="B48" s="3"/>
      <c r="C48" s="3"/>
      <c r="D48" s="3"/>
      <c r="E48" s="4"/>
      <c r="F48" s="3"/>
      <c r="G48" s="4"/>
      <c r="H48" s="3"/>
      <c r="I48" s="3"/>
      <c r="J48" s="3"/>
      <c r="K48" s="3"/>
      <c r="L48" s="3"/>
      <c r="M48" s="5"/>
      <c r="N48" s="3"/>
      <c r="O48" s="3"/>
      <c r="P48" s="3"/>
      <c r="Q48" s="4"/>
      <c r="R48" s="3"/>
      <c r="S48" s="4"/>
    </row>
    <row r="49" spans="1:19" ht="15" x14ac:dyDescent="0.2">
      <c r="A49" s="7"/>
      <c r="B49" s="3"/>
      <c r="C49" s="3"/>
      <c r="D49" s="3"/>
      <c r="E49" s="4"/>
      <c r="F49" s="3"/>
      <c r="G49" s="4"/>
      <c r="H49" s="3"/>
      <c r="I49" s="3"/>
      <c r="J49" s="3"/>
      <c r="K49" s="3"/>
      <c r="L49" s="3"/>
      <c r="M49" s="5"/>
      <c r="N49" s="3"/>
      <c r="O49" s="3"/>
      <c r="P49" s="3"/>
      <c r="Q49" s="4"/>
      <c r="R49" s="3"/>
      <c r="S49" s="4"/>
    </row>
  </sheetData>
  <customSheetViews>
    <customSheetView guid="{9D30A969-3113-4BF6-AB8E-2B31C086A125}" topLeftCell="A22">
      <selection activeCell="A2" sqref="A2"/>
      <pageMargins left="0.7" right="0.7" top="0.75" bottom="0.75" header="0.3" footer="0.3"/>
    </customSheetView>
  </customSheetViews>
  <hyperlinks>
    <hyperlink ref="P3" r:id="rId1"/>
    <hyperlink ref="M4" r:id="rId2"/>
    <hyperlink ref="P4" r:id="rId3"/>
    <hyperlink ref="M5" r:id="rId4"/>
    <hyperlink ref="P5" r:id="rId5"/>
    <hyperlink ref="P6" r:id="rId6"/>
    <hyperlink ref="M6" r:id="rId7"/>
    <hyperlink ref="P7" r:id="rId8"/>
    <hyperlink ref="P8" r:id="rId9"/>
    <hyperlink ref="M8" r:id="rId10"/>
    <hyperlink ref="M12" r:id="rId11"/>
    <hyperlink ref="M13" r:id="rId12"/>
    <hyperlink ref="P13" r:id="rId13"/>
    <hyperlink ref="M14" r:id="rId14"/>
    <hyperlink ref="P14" r:id="rId15"/>
    <hyperlink ref="M15" r:id="rId16"/>
    <hyperlink ref="M17" r:id="rId17"/>
    <hyperlink ref="M20" r:id="rId18"/>
    <hyperlink ref="M24" r:id="rId19"/>
    <hyperlink ref="M25" r:id="rId20"/>
    <hyperlink ref="P25" r:id="rId21"/>
    <hyperlink ref="M27" r:id="rId22"/>
    <hyperlink ref="P27" r:id="rId2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>
    <tabColor rgb="FFFF0000"/>
  </sheetPr>
  <dimension ref="A1:S11"/>
  <sheetViews>
    <sheetView rightToLeft="1" workbookViewId="0">
      <selection activeCell="A11" sqref="A11:XFD11"/>
    </sheetView>
  </sheetViews>
  <sheetFormatPr defaultRowHeight="14.25" x14ac:dyDescent="0.2"/>
  <cols>
    <col min="2" max="2" width="35.25" customWidth="1"/>
    <col min="3" max="3" width="30.875" customWidth="1"/>
    <col min="4" max="4" width="20.25" customWidth="1"/>
    <col min="5" max="5" width="20.375" customWidth="1"/>
    <col min="6" max="6" width="18.375" customWidth="1"/>
    <col min="7" max="7" width="17.125" customWidth="1"/>
    <col min="8" max="8" width="18.125" customWidth="1"/>
    <col min="9" max="9" width="14.25" customWidth="1"/>
    <col min="10" max="10" width="14.75" customWidth="1"/>
    <col min="11" max="11" width="20.25" customWidth="1"/>
    <col min="12" max="12" width="18.125" customWidth="1"/>
    <col min="13" max="13" width="38.125" customWidth="1"/>
    <col min="14" max="14" width="24" customWidth="1"/>
    <col min="15" max="15" width="18.375" customWidth="1"/>
    <col min="16" max="16" width="36.625" customWidth="1"/>
    <col min="17" max="17" width="33.875" customWidth="1"/>
    <col min="18" max="18" width="25.75" customWidth="1"/>
    <col min="19" max="19" width="28.75" customWidth="1"/>
    <col min="20" max="20" width="32" customWidth="1"/>
  </cols>
  <sheetData>
    <row r="1" spans="1:19" ht="15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11</v>
      </c>
      <c r="P1" s="7" t="s">
        <v>12</v>
      </c>
      <c r="Q1" s="7" t="s">
        <v>14</v>
      </c>
      <c r="R1" s="7" t="s">
        <v>15</v>
      </c>
      <c r="S1" s="7" t="s">
        <v>16</v>
      </c>
    </row>
    <row r="2" spans="1:19" ht="57" x14ac:dyDescent="0.2">
      <c r="A2" s="7">
        <v>1</v>
      </c>
      <c r="B2" s="3" t="s">
        <v>17</v>
      </c>
      <c r="C2" s="4" t="s">
        <v>255</v>
      </c>
      <c r="D2" s="3" t="s">
        <v>18</v>
      </c>
      <c r="E2" s="4" t="s">
        <v>256</v>
      </c>
      <c r="F2" s="3">
        <v>1010155610</v>
      </c>
      <c r="G2" s="3" t="s">
        <v>18</v>
      </c>
      <c r="H2" s="3">
        <v>114038765</v>
      </c>
      <c r="I2" s="3">
        <v>114055113</v>
      </c>
      <c r="J2" s="3">
        <v>40531</v>
      </c>
      <c r="K2" s="3" t="s">
        <v>19</v>
      </c>
      <c r="L2" s="3">
        <v>566232328</v>
      </c>
      <c r="M2" s="5" t="s">
        <v>20</v>
      </c>
      <c r="N2" s="3" t="s">
        <v>21</v>
      </c>
      <c r="O2" s="3">
        <v>502293011</v>
      </c>
      <c r="P2" s="5" t="s">
        <v>22</v>
      </c>
      <c r="Q2" s="3" t="s">
        <v>23</v>
      </c>
      <c r="R2" s="4" t="s">
        <v>286</v>
      </c>
      <c r="S2" s="4" t="s">
        <v>24</v>
      </c>
    </row>
    <row r="3" spans="1:19" ht="42.75" x14ac:dyDescent="0.2">
      <c r="A3" s="7">
        <v>2</v>
      </c>
      <c r="B3" s="3" t="s">
        <v>201</v>
      </c>
      <c r="C3" s="3" t="s">
        <v>220</v>
      </c>
      <c r="D3" s="3" t="s">
        <v>219</v>
      </c>
      <c r="E3" s="4" t="s">
        <v>267</v>
      </c>
      <c r="F3" s="3">
        <v>1010182816</v>
      </c>
      <c r="G3" s="4" t="s">
        <v>202</v>
      </c>
      <c r="H3" s="3">
        <v>114567080</v>
      </c>
      <c r="I3" s="3">
        <v>112693917</v>
      </c>
      <c r="J3" s="3" t="s">
        <v>203</v>
      </c>
      <c r="K3" s="3" t="s">
        <v>204</v>
      </c>
      <c r="L3" s="3"/>
      <c r="M3" s="3"/>
      <c r="N3" s="3" t="s">
        <v>205</v>
      </c>
      <c r="O3" s="3">
        <v>538925440</v>
      </c>
      <c r="P3" s="3"/>
      <c r="Q3" s="3" t="s">
        <v>206</v>
      </c>
      <c r="R3" s="3"/>
      <c r="S3" s="3"/>
    </row>
    <row r="4" spans="1:19" ht="15" x14ac:dyDescent="0.2">
      <c r="A4" s="7">
        <v>3</v>
      </c>
      <c r="B4" s="3" t="s">
        <v>197</v>
      </c>
      <c r="C4" s="3"/>
      <c r="D4" s="3" t="s">
        <v>198</v>
      </c>
      <c r="E4" s="4" t="s">
        <v>257</v>
      </c>
      <c r="F4" s="3">
        <v>1010250110</v>
      </c>
      <c r="G4" s="3"/>
      <c r="H4" s="3">
        <v>114776533</v>
      </c>
      <c r="I4" s="3">
        <v>11241931</v>
      </c>
      <c r="J4" s="3"/>
      <c r="K4" s="3" t="s">
        <v>199</v>
      </c>
      <c r="L4" s="3">
        <v>535155864</v>
      </c>
      <c r="M4" s="3"/>
      <c r="N4" s="3"/>
      <c r="O4" s="3"/>
      <c r="P4" s="3"/>
      <c r="Q4" s="3" t="s">
        <v>200</v>
      </c>
      <c r="R4" s="3"/>
      <c r="S4" s="3"/>
    </row>
    <row r="5" spans="1:19" ht="28.5" x14ac:dyDescent="0.2">
      <c r="A5" s="7">
        <v>4</v>
      </c>
      <c r="B5" s="3" t="s">
        <v>235</v>
      </c>
      <c r="C5" s="3" t="s">
        <v>236</v>
      </c>
      <c r="D5" s="3" t="s">
        <v>237</v>
      </c>
      <c r="E5" s="3" t="s">
        <v>258</v>
      </c>
      <c r="F5" s="3">
        <v>101004706</v>
      </c>
      <c r="G5" s="4" t="s">
        <v>238</v>
      </c>
      <c r="H5" s="3">
        <v>114725111</v>
      </c>
      <c r="I5" s="3">
        <v>114725111</v>
      </c>
      <c r="J5" s="4" t="s">
        <v>239</v>
      </c>
      <c r="K5" s="3" t="s">
        <v>240</v>
      </c>
      <c r="L5" s="3">
        <v>555011015</v>
      </c>
      <c r="M5" s="5" t="s">
        <v>241</v>
      </c>
      <c r="N5" s="3" t="s">
        <v>242</v>
      </c>
      <c r="O5" s="3">
        <v>530900447</v>
      </c>
      <c r="P5" s="5" t="s">
        <v>243</v>
      </c>
      <c r="Q5" s="3"/>
      <c r="R5" s="3"/>
      <c r="S5" s="3"/>
    </row>
    <row r="6" spans="1:19" ht="56.25" customHeight="1" x14ac:dyDescent="0.2">
      <c r="A6" s="7">
        <v>5</v>
      </c>
      <c r="B6" s="3" t="s">
        <v>339</v>
      </c>
      <c r="C6" s="3" t="s">
        <v>340</v>
      </c>
      <c r="D6" s="3" t="s">
        <v>341</v>
      </c>
      <c r="E6" s="3" t="s">
        <v>342</v>
      </c>
      <c r="F6" s="3">
        <v>1010342754</v>
      </c>
      <c r="G6" s="4" t="s">
        <v>343</v>
      </c>
      <c r="H6" s="3">
        <v>114776622</v>
      </c>
      <c r="I6" s="3">
        <v>114771185</v>
      </c>
      <c r="J6" s="3">
        <v>220970</v>
      </c>
      <c r="K6" s="3" t="s">
        <v>344</v>
      </c>
      <c r="L6" s="3">
        <v>583177128</v>
      </c>
      <c r="M6" s="5" t="s">
        <v>345</v>
      </c>
      <c r="N6" s="3" t="s">
        <v>346</v>
      </c>
      <c r="O6" s="3">
        <v>557784474</v>
      </c>
      <c r="P6" s="5" t="s">
        <v>347</v>
      </c>
      <c r="Q6" s="3" t="s">
        <v>348</v>
      </c>
      <c r="R6" s="4" t="s">
        <v>349</v>
      </c>
      <c r="S6" s="3" t="s">
        <v>350</v>
      </c>
    </row>
    <row r="7" spans="1:19" ht="28.5" x14ac:dyDescent="0.2">
      <c r="A7" s="7">
        <v>6</v>
      </c>
      <c r="B7" s="3" t="s">
        <v>362</v>
      </c>
      <c r="C7" s="3"/>
      <c r="D7" s="3"/>
      <c r="E7" s="4" t="s">
        <v>363</v>
      </c>
      <c r="F7" s="3">
        <v>1010062508</v>
      </c>
      <c r="G7" s="3" t="s">
        <v>364</v>
      </c>
      <c r="H7" s="4" t="s">
        <v>365</v>
      </c>
      <c r="I7" s="3">
        <v>114051658</v>
      </c>
      <c r="J7" s="3"/>
      <c r="K7" s="3" t="s">
        <v>366</v>
      </c>
      <c r="L7" s="3"/>
      <c r="M7" s="5" t="s">
        <v>367</v>
      </c>
      <c r="N7" s="3"/>
      <c r="O7" s="3"/>
      <c r="P7" s="3"/>
      <c r="Q7" s="3" t="s">
        <v>368</v>
      </c>
      <c r="R7" s="3"/>
      <c r="S7" s="3"/>
    </row>
    <row r="8" spans="1:19" ht="89.25" customHeight="1" x14ac:dyDescent="0.2">
      <c r="A8" s="7">
        <v>7</v>
      </c>
      <c r="B8" s="3" t="s">
        <v>398</v>
      </c>
      <c r="C8" s="3" t="s">
        <v>399</v>
      </c>
      <c r="D8" s="3" t="s">
        <v>400</v>
      </c>
      <c r="E8" s="4" t="s">
        <v>401</v>
      </c>
      <c r="F8" s="3">
        <v>1010070308</v>
      </c>
      <c r="G8" s="3" t="s">
        <v>251</v>
      </c>
      <c r="H8" s="3">
        <v>1144783088</v>
      </c>
      <c r="I8" s="3">
        <v>114780591</v>
      </c>
      <c r="J8" s="4" t="s">
        <v>402</v>
      </c>
      <c r="K8" s="10" t="s">
        <v>405</v>
      </c>
      <c r="L8" s="3">
        <v>538001900</v>
      </c>
      <c r="M8" s="5" t="s">
        <v>403</v>
      </c>
      <c r="N8" s="3" t="s">
        <v>404</v>
      </c>
      <c r="O8" s="3">
        <v>538001900</v>
      </c>
      <c r="P8" s="5" t="s">
        <v>403</v>
      </c>
      <c r="Q8" s="3" t="s">
        <v>406</v>
      </c>
      <c r="R8" s="3" t="s">
        <v>381</v>
      </c>
      <c r="S8" s="3"/>
    </row>
    <row r="9" spans="1:19" ht="42.75" x14ac:dyDescent="0.2">
      <c r="A9" s="7">
        <v>8</v>
      </c>
      <c r="B9" s="3" t="s">
        <v>564</v>
      </c>
      <c r="C9" s="3" t="s">
        <v>565</v>
      </c>
      <c r="D9" s="3" t="s">
        <v>566</v>
      </c>
      <c r="E9" s="4" t="s">
        <v>567</v>
      </c>
      <c r="F9" s="3">
        <v>1010284380</v>
      </c>
      <c r="G9" s="3" t="s">
        <v>568</v>
      </c>
      <c r="H9" s="4" t="s">
        <v>569</v>
      </c>
      <c r="I9" s="3">
        <v>114010607</v>
      </c>
      <c r="J9" s="3">
        <v>25398</v>
      </c>
      <c r="K9" s="3" t="s">
        <v>570</v>
      </c>
      <c r="L9" s="3"/>
      <c r="M9" s="3"/>
      <c r="N9" s="3" t="s">
        <v>571</v>
      </c>
      <c r="O9" s="3">
        <v>592261257</v>
      </c>
      <c r="P9" s="5" t="s">
        <v>572</v>
      </c>
      <c r="Q9" s="3" t="s">
        <v>573</v>
      </c>
      <c r="R9" s="3" t="s">
        <v>85</v>
      </c>
      <c r="S9" s="4" t="s">
        <v>574</v>
      </c>
    </row>
    <row r="10" spans="1:19" ht="42.75" x14ac:dyDescent="0.2">
      <c r="A10" s="7">
        <v>9</v>
      </c>
      <c r="B10" s="3" t="s">
        <v>644</v>
      </c>
      <c r="C10" s="3"/>
      <c r="D10" s="3" t="s">
        <v>645</v>
      </c>
      <c r="E10" s="4" t="s">
        <v>646</v>
      </c>
      <c r="F10" s="3">
        <v>101054440</v>
      </c>
      <c r="G10" s="3" t="s">
        <v>647</v>
      </c>
      <c r="H10" s="4" t="s">
        <v>648</v>
      </c>
      <c r="I10" s="3">
        <v>114776079</v>
      </c>
      <c r="J10" s="3"/>
      <c r="K10" s="3"/>
      <c r="L10" s="3"/>
      <c r="M10" s="5" t="s">
        <v>649</v>
      </c>
      <c r="N10" s="3" t="s">
        <v>650</v>
      </c>
      <c r="O10" s="3">
        <v>566704347</v>
      </c>
      <c r="P10" s="5" t="s">
        <v>651</v>
      </c>
      <c r="Q10" s="3" t="s">
        <v>652</v>
      </c>
      <c r="R10" s="3"/>
      <c r="S10" s="3"/>
    </row>
    <row r="11" spans="1:19" ht="15" x14ac:dyDescent="0.2">
      <c r="A11" s="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</sheetData>
  <autoFilter ref="A1:T11"/>
  <customSheetViews>
    <customSheetView guid="{9D30A969-3113-4BF6-AB8E-2B31C086A125}" showAutoFilter="1">
      <selection activeCell="B8" sqref="B8"/>
      <pageMargins left="0.7" right="0.7" top="0.75" bottom="0.75" header="0.3" footer="0.3"/>
      <pageSetup orientation="portrait" r:id="rId1"/>
      <autoFilter ref="A1:T11"/>
    </customSheetView>
  </customSheetViews>
  <hyperlinks>
    <hyperlink ref="M2" r:id="rId2"/>
    <hyperlink ref="P2" r:id="rId3"/>
    <hyperlink ref="M5" r:id="rId4"/>
    <hyperlink ref="P5" r:id="rId5"/>
    <hyperlink ref="M6" r:id="rId6"/>
    <hyperlink ref="P6" r:id="rId7"/>
    <hyperlink ref="M7" r:id="rId8"/>
    <hyperlink ref="M8" r:id="rId9"/>
    <hyperlink ref="P8" r:id="rId10"/>
    <hyperlink ref="P9" r:id="rId11"/>
    <hyperlink ref="M10" r:id="rId12"/>
    <hyperlink ref="P10" r:id="rId13"/>
  </hyperlinks>
  <pageMargins left="0.7" right="0.7" top="0.75" bottom="0.75" header="0.3" footer="0.3"/>
  <pageSetup orientation="portrait"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4">
    <tabColor rgb="FFFFFF00"/>
  </sheetPr>
  <dimension ref="A1:S19"/>
  <sheetViews>
    <sheetView rightToLeft="1" workbookViewId="0">
      <selection activeCell="Q25" sqref="Q25"/>
    </sheetView>
  </sheetViews>
  <sheetFormatPr defaultRowHeight="14.25" x14ac:dyDescent="0.2"/>
  <cols>
    <col min="2" max="2" width="18.375" style="14" customWidth="1"/>
    <col min="3" max="3" width="34.75" customWidth="1"/>
    <col min="4" max="4" width="19.625" customWidth="1"/>
    <col min="5" max="5" width="17.375" customWidth="1"/>
    <col min="6" max="6" width="18.625" customWidth="1"/>
    <col min="7" max="7" width="28.75" customWidth="1"/>
    <col min="8" max="8" width="15.125" customWidth="1"/>
    <col min="9" max="9" width="13.75" customWidth="1"/>
    <col min="10" max="10" width="18.125" customWidth="1"/>
    <col min="11" max="11" width="18" customWidth="1"/>
    <col min="12" max="12" width="12.875" customWidth="1"/>
    <col min="13" max="13" width="29.875" customWidth="1"/>
    <col min="14" max="14" width="22.25" customWidth="1"/>
    <col min="15" max="15" width="13.25" customWidth="1"/>
    <col min="16" max="16" width="30.875" customWidth="1"/>
    <col min="17" max="17" width="27.75" customWidth="1"/>
    <col min="18" max="18" width="27.25" customWidth="1"/>
    <col min="19" max="19" width="39.375" customWidth="1"/>
    <col min="20" max="20" width="19.875" customWidth="1"/>
  </cols>
  <sheetData>
    <row r="1" spans="1:19" ht="15" x14ac:dyDescent="0.25">
      <c r="A1" s="1" t="s">
        <v>0</v>
      </c>
      <c r="B1" s="1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</row>
    <row r="2" spans="1:19" ht="71.25" x14ac:dyDescent="0.2">
      <c r="A2" s="7">
        <v>1</v>
      </c>
      <c r="B2" s="4" t="s">
        <v>158</v>
      </c>
      <c r="C2" s="3" t="s">
        <v>159</v>
      </c>
      <c r="D2" s="3" t="s">
        <v>160</v>
      </c>
      <c r="E2" s="4" t="s">
        <v>284</v>
      </c>
      <c r="F2" s="3">
        <v>1010326084</v>
      </c>
      <c r="G2" s="4" t="s">
        <v>161</v>
      </c>
      <c r="H2" s="3">
        <v>112329696</v>
      </c>
      <c r="I2" s="3" t="s">
        <v>162</v>
      </c>
      <c r="J2" s="3">
        <v>26065</v>
      </c>
      <c r="K2" s="4" t="s">
        <v>163</v>
      </c>
      <c r="L2" s="4" t="s">
        <v>164</v>
      </c>
      <c r="M2" s="5" t="s">
        <v>165</v>
      </c>
      <c r="N2" s="3" t="s">
        <v>166</v>
      </c>
      <c r="O2" s="3" t="s">
        <v>18</v>
      </c>
      <c r="P2" s="5" t="s">
        <v>165</v>
      </c>
      <c r="Q2" s="3" t="s">
        <v>167</v>
      </c>
      <c r="R2" s="3" t="s">
        <v>168</v>
      </c>
      <c r="S2" s="4" t="s">
        <v>169</v>
      </c>
    </row>
    <row r="3" spans="1:19" ht="42.75" x14ac:dyDescent="0.2">
      <c r="A3" s="7">
        <v>2</v>
      </c>
      <c r="B3" s="4" t="s">
        <v>98</v>
      </c>
      <c r="C3" s="3" t="s">
        <v>99</v>
      </c>
      <c r="D3" s="3" t="s">
        <v>98</v>
      </c>
      <c r="E3" s="4" t="s">
        <v>285</v>
      </c>
      <c r="F3" s="3">
        <v>1010309016</v>
      </c>
      <c r="G3" s="4" t="s">
        <v>152</v>
      </c>
      <c r="H3" s="3">
        <v>112055881</v>
      </c>
      <c r="I3" s="3">
        <v>112055883</v>
      </c>
      <c r="J3" s="4" t="s">
        <v>153</v>
      </c>
      <c r="K3" s="3" t="s">
        <v>100</v>
      </c>
      <c r="L3" s="3">
        <v>504215531</v>
      </c>
      <c r="M3" s="5" t="s">
        <v>103</v>
      </c>
      <c r="N3" s="3" t="s">
        <v>101</v>
      </c>
      <c r="O3" s="3">
        <v>564185000</v>
      </c>
      <c r="P3" s="5" t="s">
        <v>154</v>
      </c>
      <c r="Q3" s="3" t="s">
        <v>104</v>
      </c>
      <c r="R3" s="3" t="s">
        <v>102</v>
      </c>
      <c r="S3" s="3" t="s">
        <v>98</v>
      </c>
    </row>
    <row r="4" spans="1:19" ht="42.75" x14ac:dyDescent="0.2">
      <c r="A4" s="7">
        <v>3</v>
      </c>
      <c r="B4" s="4" t="s">
        <v>308</v>
      </c>
      <c r="C4" s="3" t="s">
        <v>309</v>
      </c>
      <c r="D4" s="3" t="s">
        <v>310</v>
      </c>
      <c r="E4" s="3" t="s">
        <v>311</v>
      </c>
      <c r="F4" s="3">
        <v>1010234548</v>
      </c>
      <c r="G4" s="3" t="s">
        <v>312</v>
      </c>
      <c r="H4" s="3">
        <v>114011116</v>
      </c>
      <c r="I4" s="3">
        <v>114090942</v>
      </c>
      <c r="J4" s="4" t="s">
        <v>313</v>
      </c>
      <c r="K4" s="3" t="s">
        <v>314</v>
      </c>
      <c r="L4" s="3">
        <v>554488876</v>
      </c>
      <c r="M4" s="3"/>
      <c r="N4" s="3" t="s">
        <v>315</v>
      </c>
      <c r="O4" s="3">
        <v>546666250</v>
      </c>
      <c r="P4" s="5" t="s">
        <v>316</v>
      </c>
      <c r="Q4" s="3" t="s">
        <v>317</v>
      </c>
      <c r="R4" s="3" t="s">
        <v>318</v>
      </c>
      <c r="S4" s="3" t="s">
        <v>319</v>
      </c>
    </row>
    <row r="5" spans="1:19" ht="117.75" customHeight="1" x14ac:dyDescent="0.2">
      <c r="A5" s="7">
        <v>4</v>
      </c>
      <c r="B5" s="4" t="s">
        <v>327</v>
      </c>
      <c r="C5" s="4" t="s">
        <v>328</v>
      </c>
      <c r="D5" s="4" t="s">
        <v>329</v>
      </c>
      <c r="E5" s="4" t="s">
        <v>330</v>
      </c>
      <c r="F5" s="3">
        <v>1010098069</v>
      </c>
      <c r="G5" s="4" t="s">
        <v>331</v>
      </c>
      <c r="H5" s="3">
        <v>112171010</v>
      </c>
      <c r="I5" s="3">
        <v>114623359</v>
      </c>
      <c r="J5" s="3"/>
      <c r="K5" s="3" t="s">
        <v>332</v>
      </c>
      <c r="L5" s="3">
        <v>505470261</v>
      </c>
      <c r="M5" s="5" t="s">
        <v>333</v>
      </c>
      <c r="N5" s="3" t="s">
        <v>334</v>
      </c>
      <c r="O5" s="3">
        <v>506483786</v>
      </c>
      <c r="P5" s="5" t="s">
        <v>335</v>
      </c>
      <c r="Q5" s="3" t="s">
        <v>336</v>
      </c>
      <c r="R5" s="3" t="s">
        <v>337</v>
      </c>
      <c r="S5" s="4" t="s">
        <v>338</v>
      </c>
    </row>
    <row r="6" spans="1:19" ht="48" customHeight="1" x14ac:dyDescent="0.2">
      <c r="A6" s="7">
        <v>5</v>
      </c>
      <c r="B6" s="4" t="s">
        <v>351</v>
      </c>
      <c r="C6" s="3" t="s">
        <v>352</v>
      </c>
      <c r="D6" s="3" t="s">
        <v>353</v>
      </c>
      <c r="E6" s="4" t="s">
        <v>354</v>
      </c>
      <c r="F6" s="3">
        <v>1010368088</v>
      </c>
      <c r="G6" s="3" t="s">
        <v>355</v>
      </c>
      <c r="H6" s="3">
        <v>114624477</v>
      </c>
      <c r="I6" s="3">
        <v>114612444</v>
      </c>
      <c r="J6" s="3">
        <v>4843</v>
      </c>
      <c r="K6" s="3" t="s">
        <v>356</v>
      </c>
      <c r="L6" s="3">
        <v>558537789</v>
      </c>
      <c r="M6" s="5" t="s">
        <v>357</v>
      </c>
      <c r="N6" s="3" t="s">
        <v>358</v>
      </c>
      <c r="O6" s="3">
        <v>509666563</v>
      </c>
      <c r="P6" s="5" t="s">
        <v>359</v>
      </c>
      <c r="Q6" s="3" t="s">
        <v>360</v>
      </c>
      <c r="R6" s="3" t="s">
        <v>361</v>
      </c>
      <c r="S6" s="3" t="s">
        <v>352</v>
      </c>
    </row>
    <row r="7" spans="1:19" ht="57" x14ac:dyDescent="0.2">
      <c r="A7" s="7">
        <v>6</v>
      </c>
      <c r="B7" s="4" t="s">
        <v>407</v>
      </c>
      <c r="C7" s="3" t="s">
        <v>408</v>
      </c>
      <c r="D7" s="3" t="s">
        <v>409</v>
      </c>
      <c r="E7" s="4" t="s">
        <v>410</v>
      </c>
      <c r="F7" s="3">
        <v>1010042289</v>
      </c>
      <c r="G7" s="3" t="s">
        <v>411</v>
      </c>
      <c r="H7" s="3">
        <v>114192112</v>
      </c>
      <c r="I7" s="3">
        <v>114193100</v>
      </c>
      <c r="J7" s="3">
        <v>2002</v>
      </c>
      <c r="K7" s="3" t="s">
        <v>412</v>
      </c>
      <c r="L7" s="4" t="s">
        <v>413</v>
      </c>
      <c r="M7" s="4" t="s">
        <v>414</v>
      </c>
      <c r="N7" s="3" t="s">
        <v>415</v>
      </c>
      <c r="O7" s="3">
        <v>568361222</v>
      </c>
      <c r="P7" s="5" t="s">
        <v>416</v>
      </c>
      <c r="Q7" s="3" t="s">
        <v>417</v>
      </c>
      <c r="R7" s="3" t="s">
        <v>85</v>
      </c>
      <c r="S7" s="3" t="s">
        <v>408</v>
      </c>
    </row>
    <row r="8" spans="1:19" ht="42.75" x14ac:dyDescent="0.2">
      <c r="A8" s="7">
        <v>7</v>
      </c>
      <c r="B8" s="4" t="s">
        <v>483</v>
      </c>
      <c r="C8" s="3"/>
      <c r="D8" s="3" t="s">
        <v>482</v>
      </c>
      <c r="E8" s="4" t="s">
        <v>484</v>
      </c>
      <c r="F8" s="3">
        <v>4030240043</v>
      </c>
      <c r="G8" s="3" t="s">
        <v>485</v>
      </c>
      <c r="H8" s="3">
        <v>126523907</v>
      </c>
      <c r="I8" s="3">
        <v>126517325</v>
      </c>
      <c r="J8" s="3">
        <v>54117</v>
      </c>
      <c r="K8" s="3" t="s">
        <v>486</v>
      </c>
      <c r="L8" s="3">
        <v>540694172</v>
      </c>
      <c r="M8" s="5" t="s">
        <v>487</v>
      </c>
      <c r="N8" s="3" t="s">
        <v>488</v>
      </c>
      <c r="O8" s="3">
        <v>569969831</v>
      </c>
      <c r="P8" s="5" t="s">
        <v>489</v>
      </c>
      <c r="Q8" s="3" t="s">
        <v>490</v>
      </c>
      <c r="R8" s="3" t="s">
        <v>491</v>
      </c>
      <c r="S8" s="3" t="s">
        <v>492</v>
      </c>
    </row>
    <row r="9" spans="1:19" ht="28.5" x14ac:dyDescent="0.2">
      <c r="A9" s="7">
        <v>8</v>
      </c>
      <c r="B9" s="4" t="s">
        <v>505</v>
      </c>
      <c r="C9" s="3" t="s">
        <v>506</v>
      </c>
      <c r="D9" s="3" t="s">
        <v>507</v>
      </c>
      <c r="E9" s="3" t="s">
        <v>508</v>
      </c>
      <c r="F9" s="3">
        <v>1010395333</v>
      </c>
      <c r="G9" s="3" t="s">
        <v>509</v>
      </c>
      <c r="H9" s="4" t="s">
        <v>510</v>
      </c>
      <c r="I9" s="3"/>
      <c r="J9" s="4" t="s">
        <v>511</v>
      </c>
      <c r="K9" s="3" t="s">
        <v>512</v>
      </c>
      <c r="L9" s="3">
        <v>554144177</v>
      </c>
      <c r="M9" s="5" t="s">
        <v>513</v>
      </c>
      <c r="N9" s="3" t="s">
        <v>514</v>
      </c>
      <c r="O9" s="3">
        <v>555778975</v>
      </c>
      <c r="P9" s="5" t="s">
        <v>515</v>
      </c>
      <c r="Q9" s="3" t="s">
        <v>516</v>
      </c>
      <c r="R9" s="3" t="s">
        <v>517</v>
      </c>
      <c r="S9" s="3" t="s">
        <v>512</v>
      </c>
    </row>
    <row r="10" spans="1:19" ht="28.5" x14ac:dyDescent="0.2">
      <c r="A10" s="7">
        <v>9</v>
      </c>
      <c r="B10" s="4" t="s">
        <v>518</v>
      </c>
      <c r="C10" s="3" t="s">
        <v>519</v>
      </c>
      <c r="D10" s="3" t="s">
        <v>520</v>
      </c>
      <c r="E10" s="4" t="s">
        <v>521</v>
      </c>
      <c r="F10" s="3">
        <v>1010163045</v>
      </c>
      <c r="G10" s="4" t="s">
        <v>522</v>
      </c>
      <c r="H10" s="3">
        <v>112439641</v>
      </c>
      <c r="I10" s="3">
        <v>112439675</v>
      </c>
      <c r="J10" s="3">
        <v>13244</v>
      </c>
      <c r="K10" s="4" t="s">
        <v>523</v>
      </c>
      <c r="L10" s="3">
        <v>540828472</v>
      </c>
      <c r="M10" s="5" t="s">
        <v>524</v>
      </c>
      <c r="N10" s="4" t="s">
        <v>525</v>
      </c>
      <c r="O10" s="3">
        <v>557780216</v>
      </c>
      <c r="P10" s="5" t="s">
        <v>526</v>
      </c>
      <c r="Q10" s="3" t="s">
        <v>527</v>
      </c>
      <c r="R10" s="3" t="s">
        <v>381</v>
      </c>
      <c r="S10" s="3" t="s">
        <v>519</v>
      </c>
    </row>
    <row r="11" spans="1:19" ht="42.75" x14ac:dyDescent="0.2">
      <c r="A11" s="7">
        <v>10</v>
      </c>
      <c r="B11" s="4" t="s">
        <v>528</v>
      </c>
      <c r="C11" s="3" t="s">
        <v>529</v>
      </c>
      <c r="D11" s="3" t="s">
        <v>530</v>
      </c>
      <c r="E11" s="4" t="s">
        <v>531</v>
      </c>
      <c r="F11" s="3">
        <v>2050003048</v>
      </c>
      <c r="G11" s="4" t="s">
        <v>532</v>
      </c>
      <c r="H11" s="3">
        <v>112060555</v>
      </c>
      <c r="I11" s="3">
        <v>112062333</v>
      </c>
      <c r="J11" s="3">
        <v>57792</v>
      </c>
      <c r="K11" s="3" t="s">
        <v>533</v>
      </c>
      <c r="L11" s="3">
        <v>505829909</v>
      </c>
      <c r="M11" s="5" t="s">
        <v>534</v>
      </c>
      <c r="N11" s="3" t="s">
        <v>535</v>
      </c>
      <c r="O11" s="3">
        <v>556030154</v>
      </c>
      <c r="P11" s="5" t="s">
        <v>536</v>
      </c>
      <c r="Q11" s="3" t="s">
        <v>537</v>
      </c>
      <c r="R11" s="3" t="s">
        <v>538</v>
      </c>
      <c r="S11" s="3" t="s">
        <v>528</v>
      </c>
    </row>
    <row r="12" spans="1:19" ht="60" customHeight="1" x14ac:dyDescent="0.2">
      <c r="A12" s="7">
        <v>11</v>
      </c>
      <c r="B12" s="4" t="s">
        <v>575</v>
      </c>
      <c r="C12" s="4" t="s">
        <v>576</v>
      </c>
      <c r="D12" s="4" t="s">
        <v>577</v>
      </c>
      <c r="E12" s="4" t="s">
        <v>578</v>
      </c>
      <c r="F12" s="3">
        <v>1010144919</v>
      </c>
      <c r="G12" s="3" t="s">
        <v>579</v>
      </c>
      <c r="H12" s="3">
        <v>1122761900</v>
      </c>
      <c r="I12" s="3">
        <v>112761955</v>
      </c>
      <c r="J12" s="4" t="s">
        <v>580</v>
      </c>
      <c r="K12" s="3" t="s">
        <v>581</v>
      </c>
      <c r="L12" s="3">
        <v>590809079</v>
      </c>
      <c r="M12" s="5" t="s">
        <v>582</v>
      </c>
      <c r="N12" s="3" t="s">
        <v>584</v>
      </c>
      <c r="O12" s="4" t="s">
        <v>583</v>
      </c>
      <c r="P12" s="5" t="s">
        <v>585</v>
      </c>
      <c r="Q12" s="3" t="s">
        <v>586</v>
      </c>
      <c r="R12" s="3" t="s">
        <v>102</v>
      </c>
      <c r="S12" s="4" t="s">
        <v>576</v>
      </c>
    </row>
    <row r="13" spans="1:19" ht="71.25" x14ac:dyDescent="0.2">
      <c r="A13" s="7">
        <v>12</v>
      </c>
      <c r="B13" s="4" t="s">
        <v>587</v>
      </c>
      <c r="C13" s="3" t="s">
        <v>588</v>
      </c>
      <c r="D13" s="3"/>
      <c r="E13" s="4" t="s">
        <v>589</v>
      </c>
      <c r="F13" s="3">
        <v>1010700847</v>
      </c>
      <c r="G13" s="3" t="s">
        <v>590</v>
      </c>
      <c r="H13" s="3">
        <v>112264211</v>
      </c>
      <c r="I13" s="3"/>
      <c r="J13" s="3">
        <v>11575</v>
      </c>
      <c r="K13" s="4" t="s">
        <v>591</v>
      </c>
      <c r="L13" s="3"/>
      <c r="M13" s="3"/>
      <c r="N13" s="3" t="s">
        <v>592</v>
      </c>
      <c r="O13" s="3">
        <v>594790992</v>
      </c>
      <c r="P13" s="3"/>
      <c r="Q13" s="3"/>
      <c r="R13" s="3"/>
      <c r="S13" s="3"/>
    </row>
    <row r="14" spans="1:19" ht="42.75" x14ac:dyDescent="0.2">
      <c r="A14" s="7">
        <v>13</v>
      </c>
      <c r="B14" s="4" t="s">
        <v>674</v>
      </c>
      <c r="C14" s="3" t="s">
        <v>675</v>
      </c>
      <c r="D14" s="3" t="s">
        <v>676</v>
      </c>
      <c r="E14" s="4" t="s">
        <v>677</v>
      </c>
      <c r="F14" s="3">
        <v>1010147674</v>
      </c>
      <c r="G14" s="4" t="s">
        <v>678</v>
      </c>
      <c r="H14" s="3">
        <v>114058373</v>
      </c>
      <c r="I14" s="3">
        <v>112761715</v>
      </c>
      <c r="J14" s="4" t="s">
        <v>679</v>
      </c>
      <c r="K14" s="3" t="s">
        <v>680</v>
      </c>
      <c r="L14" s="3">
        <v>534444000</v>
      </c>
      <c r="M14" s="3"/>
      <c r="N14" s="3" t="s">
        <v>681</v>
      </c>
      <c r="O14" s="3">
        <v>535050309</v>
      </c>
      <c r="P14" s="5" t="s">
        <v>682</v>
      </c>
      <c r="Q14" s="3" t="s">
        <v>683</v>
      </c>
      <c r="R14" s="4" t="s">
        <v>684</v>
      </c>
      <c r="S14" s="3" t="s">
        <v>685</v>
      </c>
    </row>
    <row r="15" spans="1:19" ht="114" x14ac:dyDescent="0.2">
      <c r="A15" s="7">
        <v>14</v>
      </c>
      <c r="B15" s="4" t="s">
        <v>719</v>
      </c>
      <c r="C15" s="3" t="s">
        <v>720</v>
      </c>
      <c r="D15" s="3" t="s">
        <v>721</v>
      </c>
      <c r="E15" s="4" t="s">
        <v>722</v>
      </c>
      <c r="F15" s="4" t="s">
        <v>724</v>
      </c>
      <c r="G15" s="4" t="s">
        <v>723</v>
      </c>
      <c r="H15" s="3">
        <v>118109064</v>
      </c>
      <c r="I15" s="3">
        <v>112136839</v>
      </c>
      <c r="J15" s="3"/>
      <c r="K15" s="3" t="s">
        <v>725</v>
      </c>
      <c r="L15" s="3">
        <v>595586362</v>
      </c>
      <c r="M15" s="5" t="s">
        <v>726</v>
      </c>
      <c r="N15" s="12" t="s">
        <v>727</v>
      </c>
      <c r="O15" s="3">
        <v>595563000</v>
      </c>
      <c r="P15" s="5" t="s">
        <v>728</v>
      </c>
      <c r="Q15" s="4" t="s">
        <v>729</v>
      </c>
      <c r="R15" s="3" t="s">
        <v>730</v>
      </c>
      <c r="S15" s="3"/>
    </row>
    <row r="16" spans="1:19" ht="71.25" x14ac:dyDescent="0.2">
      <c r="A16" s="7">
        <v>15</v>
      </c>
      <c r="B16" s="4" t="s">
        <v>731</v>
      </c>
      <c r="C16" s="3" t="s">
        <v>732</v>
      </c>
      <c r="D16" s="3"/>
      <c r="E16" s="4" t="s">
        <v>733</v>
      </c>
      <c r="F16" s="3">
        <v>4030048535</v>
      </c>
      <c r="G16" s="3" t="s">
        <v>734</v>
      </c>
      <c r="H16" s="3">
        <v>126440099</v>
      </c>
      <c r="I16" s="3">
        <v>116422669</v>
      </c>
      <c r="J16" s="3">
        <v>180</v>
      </c>
      <c r="K16" s="3" t="s">
        <v>735</v>
      </c>
      <c r="L16" s="4" t="s">
        <v>736</v>
      </c>
      <c r="M16" s="5" t="s">
        <v>737</v>
      </c>
      <c r="N16" s="3" t="s">
        <v>738</v>
      </c>
      <c r="O16" s="3">
        <v>536291649</v>
      </c>
      <c r="P16" s="5" t="s">
        <v>739</v>
      </c>
      <c r="Q16" s="3" t="s">
        <v>740</v>
      </c>
      <c r="R16" s="3" t="s">
        <v>741</v>
      </c>
      <c r="S16" s="3"/>
    </row>
    <row r="17" spans="1:19" ht="15" x14ac:dyDescent="0.2">
      <c r="A17" s="7"/>
      <c r="B17" s="4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ht="15" x14ac:dyDescent="0.2">
      <c r="A18" s="7"/>
      <c r="B18" s="4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ht="15" x14ac:dyDescent="0.2">
      <c r="A19" s="7"/>
      <c r="B19" s="4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</sheetData>
  <customSheetViews>
    <customSheetView guid="{9D30A969-3113-4BF6-AB8E-2B31C086A125}" topLeftCell="A7">
      <selection activeCell="C6" sqref="C6"/>
      <pageMargins left="0.7" right="0.7" top="0.75" bottom="0.75" header="0.3" footer="0.3"/>
    </customSheetView>
  </customSheetViews>
  <hyperlinks>
    <hyperlink ref="M2" r:id="rId1"/>
    <hyperlink ref="P2" r:id="rId2"/>
    <hyperlink ref="M3" r:id="rId3"/>
    <hyperlink ref="P3" r:id="rId4"/>
    <hyperlink ref="P4" r:id="rId5"/>
    <hyperlink ref="M5" r:id="rId6"/>
    <hyperlink ref="P5" r:id="rId7"/>
    <hyperlink ref="M6" r:id="rId8"/>
    <hyperlink ref="P6" r:id="rId9"/>
    <hyperlink ref="P7" r:id="rId10"/>
    <hyperlink ref="M8" r:id="rId11"/>
    <hyperlink ref="P8" r:id="rId12"/>
    <hyperlink ref="M9" r:id="rId13"/>
    <hyperlink ref="P9" r:id="rId14"/>
    <hyperlink ref="M10" r:id="rId15"/>
    <hyperlink ref="P10" r:id="rId16"/>
    <hyperlink ref="M11" r:id="rId17"/>
    <hyperlink ref="P11" r:id="rId18"/>
    <hyperlink ref="M12" r:id="rId19"/>
    <hyperlink ref="P12" r:id="rId20"/>
    <hyperlink ref="P14" r:id="rId21"/>
    <hyperlink ref="M15" r:id="rId22"/>
    <hyperlink ref="P15" r:id="rId23"/>
    <hyperlink ref="M16" r:id="rId24"/>
    <hyperlink ref="P16" r:id="rId25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5">
    <tabColor theme="6" tint="-0.249977111117893"/>
  </sheetPr>
  <dimension ref="A1:S11"/>
  <sheetViews>
    <sheetView rightToLeft="1" zoomScaleNormal="100" workbookViewId="0">
      <selection activeCell="S12" sqref="S12"/>
    </sheetView>
  </sheetViews>
  <sheetFormatPr defaultRowHeight="14.25" x14ac:dyDescent="0.2"/>
  <cols>
    <col min="2" max="2" width="23.625" customWidth="1"/>
    <col min="3" max="3" width="24.375" customWidth="1"/>
    <col min="4" max="4" width="20.125" customWidth="1"/>
    <col min="5" max="5" width="17.375" customWidth="1"/>
    <col min="6" max="6" width="18.125" customWidth="1"/>
    <col min="7" max="7" width="19.875" customWidth="1"/>
    <col min="8" max="8" width="19.25" customWidth="1"/>
    <col min="9" max="9" width="14.75" customWidth="1"/>
    <col min="10" max="10" width="13.25" customWidth="1"/>
    <col min="11" max="11" width="19.625" customWidth="1"/>
    <col min="12" max="12" width="14.125" customWidth="1"/>
    <col min="13" max="13" width="25.375" customWidth="1"/>
    <col min="14" max="14" width="18.625" customWidth="1"/>
    <col min="15" max="15" width="14" customWidth="1"/>
    <col min="16" max="16" width="29.25" customWidth="1"/>
    <col min="17" max="17" width="28.375" customWidth="1"/>
    <col min="18" max="18" width="25" customWidth="1"/>
    <col min="19" max="19" width="23.875" customWidth="1"/>
    <col min="20" max="20" width="22.375" customWidth="1"/>
  </cols>
  <sheetData>
    <row r="1" spans="1:19" ht="15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11</v>
      </c>
      <c r="P1" s="7" t="s">
        <v>12</v>
      </c>
      <c r="Q1" s="7" t="s">
        <v>14</v>
      </c>
      <c r="R1" s="7" t="s">
        <v>15</v>
      </c>
      <c r="S1" s="7" t="s">
        <v>16</v>
      </c>
    </row>
    <row r="2" spans="1:19" ht="42.75" x14ac:dyDescent="0.2">
      <c r="A2" s="7">
        <v>1</v>
      </c>
      <c r="B2" s="3" t="s">
        <v>94</v>
      </c>
      <c r="C2" s="3" t="s">
        <v>18</v>
      </c>
      <c r="D2" s="3" t="s">
        <v>18</v>
      </c>
      <c r="E2" s="4" t="s">
        <v>268</v>
      </c>
      <c r="F2" s="3">
        <v>1010197890</v>
      </c>
      <c r="G2" s="3" t="s">
        <v>151</v>
      </c>
      <c r="H2" s="3">
        <v>114466716</v>
      </c>
      <c r="I2" s="3" t="s">
        <v>18</v>
      </c>
      <c r="J2" s="3" t="s">
        <v>43</v>
      </c>
      <c r="K2" s="3" t="s">
        <v>95</v>
      </c>
      <c r="L2" s="3">
        <v>506191373</v>
      </c>
      <c r="M2" s="5" t="s">
        <v>96</v>
      </c>
      <c r="N2" s="3" t="s">
        <v>95</v>
      </c>
      <c r="O2" s="3">
        <v>506191373</v>
      </c>
      <c r="P2" s="5" t="s">
        <v>96</v>
      </c>
      <c r="Q2" s="3" t="s">
        <v>97</v>
      </c>
      <c r="R2" s="3" t="s">
        <v>46</v>
      </c>
      <c r="S2" s="4" t="s">
        <v>95</v>
      </c>
    </row>
    <row r="3" spans="1:19" ht="57" x14ac:dyDescent="0.2">
      <c r="A3" s="7">
        <v>2</v>
      </c>
      <c r="B3" s="3" t="s">
        <v>109</v>
      </c>
      <c r="C3" s="3" t="s">
        <v>108</v>
      </c>
      <c r="D3" s="3" t="s">
        <v>110</v>
      </c>
      <c r="E3" s="4" t="s">
        <v>266</v>
      </c>
      <c r="F3" s="3">
        <v>1010265998</v>
      </c>
      <c r="G3" s="3" t="s">
        <v>111</v>
      </c>
      <c r="H3" s="3">
        <v>112635087</v>
      </c>
      <c r="I3" s="3">
        <v>112635087</v>
      </c>
      <c r="J3" s="3" t="s">
        <v>43</v>
      </c>
      <c r="K3" s="3" t="s">
        <v>155</v>
      </c>
      <c r="L3" s="3">
        <v>542153722</v>
      </c>
      <c r="M3" s="5" t="s">
        <v>107</v>
      </c>
      <c r="N3" s="3" t="s">
        <v>112</v>
      </c>
      <c r="O3" s="3">
        <v>500968262</v>
      </c>
      <c r="P3" s="5" t="s">
        <v>106</v>
      </c>
      <c r="Q3" s="3" t="s">
        <v>105</v>
      </c>
      <c r="R3" s="3" t="s">
        <v>113</v>
      </c>
      <c r="S3" s="3" t="s">
        <v>109</v>
      </c>
    </row>
    <row r="4" spans="1:19" ht="42.75" x14ac:dyDescent="0.2">
      <c r="A4" s="7">
        <v>3</v>
      </c>
      <c r="B4" s="3" t="s">
        <v>201</v>
      </c>
      <c r="C4" s="3" t="s">
        <v>220</v>
      </c>
      <c r="D4" s="3" t="s">
        <v>219</v>
      </c>
      <c r="E4" s="4" t="s">
        <v>269</v>
      </c>
      <c r="F4" s="3">
        <v>1010182816</v>
      </c>
      <c r="G4" s="4" t="s">
        <v>202</v>
      </c>
      <c r="H4" s="3">
        <v>114567080</v>
      </c>
      <c r="I4" s="3">
        <v>112693917</v>
      </c>
      <c r="J4" s="3" t="s">
        <v>203</v>
      </c>
      <c r="K4" s="3" t="s">
        <v>204</v>
      </c>
      <c r="L4" s="3"/>
      <c r="M4" s="3"/>
      <c r="N4" s="3" t="s">
        <v>205</v>
      </c>
      <c r="O4" s="3">
        <v>538925440</v>
      </c>
      <c r="P4" s="3"/>
      <c r="Q4" s="3" t="s">
        <v>206</v>
      </c>
      <c r="R4" s="3"/>
      <c r="S4" s="3"/>
    </row>
    <row r="5" spans="1:19" ht="57" x14ac:dyDescent="0.2">
      <c r="A5" s="7">
        <v>4</v>
      </c>
      <c r="B5" s="4" t="s">
        <v>212</v>
      </c>
      <c r="C5" s="4" t="s">
        <v>87</v>
      </c>
      <c r="D5" s="3" t="s">
        <v>88</v>
      </c>
      <c r="E5" s="4" t="s">
        <v>270</v>
      </c>
      <c r="F5" s="3">
        <v>1010089086</v>
      </c>
      <c r="G5" s="4" t="s">
        <v>89</v>
      </c>
      <c r="H5" s="3">
        <v>114620146</v>
      </c>
      <c r="I5" s="3">
        <v>114618620</v>
      </c>
      <c r="J5" s="3" t="s">
        <v>149</v>
      </c>
      <c r="K5" s="3" t="s">
        <v>90</v>
      </c>
      <c r="L5" s="3">
        <v>540669454</v>
      </c>
      <c r="M5" s="5" t="s">
        <v>91</v>
      </c>
      <c r="N5" s="3" t="s">
        <v>93</v>
      </c>
      <c r="O5" s="3">
        <v>540669465</v>
      </c>
      <c r="P5" s="5" t="s">
        <v>92</v>
      </c>
      <c r="Q5" s="3" t="s">
        <v>84</v>
      </c>
      <c r="R5" s="3" t="s">
        <v>150</v>
      </c>
      <c r="S5" s="4" t="s">
        <v>86</v>
      </c>
    </row>
    <row r="6" spans="1:19" ht="42.75" x14ac:dyDescent="0.2">
      <c r="A6" s="7">
        <v>5</v>
      </c>
      <c r="B6" s="3" t="s">
        <v>226</v>
      </c>
      <c r="C6" s="4" t="s">
        <v>227</v>
      </c>
      <c r="D6" s="4" t="s">
        <v>228</v>
      </c>
      <c r="E6" s="4" t="s">
        <v>271</v>
      </c>
      <c r="F6" s="3">
        <v>1010018908</v>
      </c>
      <c r="G6" s="3" t="s">
        <v>229</v>
      </c>
      <c r="H6" s="3">
        <v>114766688</v>
      </c>
      <c r="I6" s="3">
        <v>114793626</v>
      </c>
      <c r="J6" s="3">
        <v>52853</v>
      </c>
      <c r="K6" s="4" t="s">
        <v>230</v>
      </c>
      <c r="L6" s="3">
        <v>599950111</v>
      </c>
      <c r="M6" s="3"/>
      <c r="N6" s="3" t="s">
        <v>231</v>
      </c>
      <c r="O6" s="3">
        <v>555028923</v>
      </c>
      <c r="P6" s="3"/>
      <c r="Q6" s="3" t="s">
        <v>232</v>
      </c>
      <c r="R6" s="4" t="s">
        <v>233</v>
      </c>
      <c r="S6" s="4" t="s">
        <v>234</v>
      </c>
    </row>
    <row r="7" spans="1:19" ht="71.25" x14ac:dyDescent="0.2">
      <c r="A7" s="7">
        <v>6</v>
      </c>
      <c r="B7" s="3" t="s">
        <v>369</v>
      </c>
      <c r="C7" s="3"/>
      <c r="D7" s="3">
        <v>11314</v>
      </c>
      <c r="E7" s="4" t="s">
        <v>370</v>
      </c>
      <c r="F7" s="3">
        <v>1010233070</v>
      </c>
      <c r="G7" s="4" t="s">
        <v>371</v>
      </c>
      <c r="H7" s="3">
        <v>114607553</v>
      </c>
      <c r="I7" s="3">
        <v>114608231</v>
      </c>
      <c r="J7" s="3"/>
      <c r="K7" s="3" t="s">
        <v>372</v>
      </c>
      <c r="L7" s="3">
        <v>500127775</v>
      </c>
      <c r="M7" s="3"/>
      <c r="N7" s="3" t="s">
        <v>373</v>
      </c>
      <c r="O7" s="3">
        <v>500127775</v>
      </c>
      <c r="P7" s="3"/>
      <c r="Q7" s="3" t="s">
        <v>374</v>
      </c>
      <c r="R7" s="3"/>
      <c r="S7" s="3"/>
    </row>
    <row r="8" spans="1:19" ht="42.75" x14ac:dyDescent="0.2">
      <c r="A8" s="7">
        <v>7</v>
      </c>
      <c r="B8" s="4" t="s">
        <v>653</v>
      </c>
      <c r="C8" s="4" t="s">
        <v>654</v>
      </c>
      <c r="D8" s="3"/>
      <c r="E8" s="4" t="s">
        <v>655</v>
      </c>
      <c r="F8" s="3">
        <v>1010045155</v>
      </c>
      <c r="G8" s="4" t="s">
        <v>656</v>
      </c>
      <c r="H8" s="3">
        <v>114646279</v>
      </c>
      <c r="I8" s="3">
        <v>114646093</v>
      </c>
      <c r="J8" s="3">
        <v>53272</v>
      </c>
      <c r="K8" s="4" t="s">
        <v>657</v>
      </c>
      <c r="L8" s="3"/>
      <c r="M8" s="3"/>
      <c r="N8" s="3" t="s">
        <v>658</v>
      </c>
      <c r="O8" s="3">
        <v>506344210</v>
      </c>
      <c r="P8" s="5" t="s">
        <v>659</v>
      </c>
      <c r="Q8" s="3" t="s">
        <v>660</v>
      </c>
      <c r="R8" s="3" t="s">
        <v>306</v>
      </c>
      <c r="S8" s="3" t="s">
        <v>661</v>
      </c>
    </row>
    <row r="9" spans="1:19" ht="15" x14ac:dyDescent="0.2">
      <c r="A9" s="7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ht="15" x14ac:dyDescent="0.2">
      <c r="A10" s="7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ht="15" x14ac:dyDescent="0.2">
      <c r="A11" s="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</sheetData>
  <customSheetViews>
    <customSheetView guid="{9D30A969-3113-4BF6-AB8E-2B31C086A125}" topLeftCell="A7">
      <selection activeCell="D21" sqref="D21"/>
      <pageMargins left="0.7" right="0.7" top="0.75" bottom="0.75" header="0.3" footer="0.3"/>
      <pageSetup paperSize="9" orientation="portrait" verticalDpi="0" r:id="rId1"/>
    </customSheetView>
  </customSheetViews>
  <hyperlinks>
    <hyperlink ref="M2" r:id="rId2"/>
    <hyperlink ref="P2" r:id="rId3"/>
    <hyperlink ref="P5" r:id="rId4"/>
    <hyperlink ref="M5" r:id="rId5"/>
    <hyperlink ref="P8" r:id="rId6"/>
  </hyperlinks>
  <pageMargins left="0.7" right="0.7" top="0.75" bottom="0.75" header="0.3" footer="0.3"/>
  <pageSetup paperSize="9" orientation="portrait" verticalDpi="0"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6">
    <tabColor theme="3" tint="0.59999389629810485"/>
  </sheetPr>
  <dimension ref="A1:S11"/>
  <sheetViews>
    <sheetView rightToLeft="1" zoomScaleNormal="100" workbookViewId="0">
      <selection activeCell="D15" sqref="D15"/>
    </sheetView>
  </sheetViews>
  <sheetFormatPr defaultRowHeight="14.25" x14ac:dyDescent="0.2"/>
  <cols>
    <col min="2" max="2" width="30" customWidth="1"/>
    <col min="3" max="3" width="25.75" customWidth="1"/>
    <col min="4" max="4" width="25" customWidth="1"/>
    <col min="5" max="5" width="18" customWidth="1"/>
    <col min="6" max="6" width="16.625" customWidth="1"/>
    <col min="7" max="7" width="20.625" customWidth="1"/>
    <col min="8" max="8" width="18.125" customWidth="1"/>
    <col min="9" max="9" width="17.75" customWidth="1"/>
    <col min="10" max="10" width="18.875" customWidth="1"/>
    <col min="11" max="11" width="20.75" customWidth="1"/>
    <col min="12" max="12" width="19.375" customWidth="1"/>
    <col min="13" max="13" width="24.25" customWidth="1"/>
    <col min="14" max="14" width="25.875" customWidth="1"/>
    <col min="15" max="15" width="18" customWidth="1"/>
    <col min="16" max="16" width="26.375" customWidth="1"/>
    <col min="17" max="17" width="26.25" customWidth="1"/>
    <col min="18" max="18" width="25.625" customWidth="1"/>
    <col min="19" max="19" width="31.125" customWidth="1"/>
    <col min="20" max="20" width="20.875" customWidth="1"/>
  </cols>
  <sheetData>
    <row r="1" spans="1:19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</row>
    <row r="2" spans="1:19" ht="28.5" x14ac:dyDescent="0.2">
      <c r="A2" s="7">
        <v>1</v>
      </c>
      <c r="B2" s="3" t="s">
        <v>191</v>
      </c>
      <c r="C2" s="3" t="s">
        <v>287</v>
      </c>
      <c r="D2" s="2"/>
      <c r="E2" s="4" t="s">
        <v>272</v>
      </c>
      <c r="F2" s="3">
        <v>1010317186</v>
      </c>
      <c r="G2" s="3" t="s">
        <v>192</v>
      </c>
      <c r="H2" s="3">
        <v>112373558</v>
      </c>
      <c r="I2" s="2"/>
      <c r="J2" s="3">
        <v>12258</v>
      </c>
      <c r="K2" s="3" t="s">
        <v>193</v>
      </c>
      <c r="L2" s="9"/>
      <c r="M2" s="2"/>
      <c r="N2" s="3" t="s">
        <v>194</v>
      </c>
      <c r="O2" s="3">
        <v>536365286</v>
      </c>
      <c r="P2" s="2"/>
      <c r="Q2" s="3" t="s">
        <v>195</v>
      </c>
      <c r="R2" s="3" t="s">
        <v>196</v>
      </c>
      <c r="S2" s="3" t="s">
        <v>193</v>
      </c>
    </row>
    <row r="3" spans="1:19" ht="58.5" customHeight="1" x14ac:dyDescent="0.2">
      <c r="A3" s="7">
        <v>2</v>
      </c>
      <c r="B3" s="3" t="s">
        <v>187</v>
      </c>
      <c r="C3" s="3" t="s">
        <v>188</v>
      </c>
      <c r="D3" s="2"/>
      <c r="E3" s="4" t="s">
        <v>273</v>
      </c>
      <c r="F3" s="3">
        <v>4030338930</v>
      </c>
      <c r="G3" s="3" t="s">
        <v>288</v>
      </c>
      <c r="H3" s="3">
        <v>8323402</v>
      </c>
      <c r="I3" s="2"/>
      <c r="J3" s="2"/>
      <c r="K3" s="8" t="s">
        <v>189</v>
      </c>
      <c r="L3" s="2"/>
      <c r="M3" s="2"/>
      <c r="N3" s="3" t="s">
        <v>190</v>
      </c>
      <c r="O3" s="3">
        <v>568288637</v>
      </c>
      <c r="P3" s="5" t="s">
        <v>289</v>
      </c>
      <c r="Q3" s="2"/>
      <c r="R3" s="2"/>
      <c r="S3" s="2"/>
    </row>
    <row r="4" spans="1:19" ht="15" x14ac:dyDescent="0.2">
      <c r="A4" s="7">
        <v>3</v>
      </c>
      <c r="B4" s="3" t="s">
        <v>290</v>
      </c>
      <c r="C4" s="3" t="s">
        <v>291</v>
      </c>
      <c r="D4" s="3"/>
      <c r="E4" s="3" t="s">
        <v>292</v>
      </c>
      <c r="F4" s="3">
        <v>1010261556</v>
      </c>
      <c r="G4" s="3" t="s">
        <v>293</v>
      </c>
      <c r="H4" s="3">
        <v>114923489</v>
      </c>
      <c r="I4" s="3">
        <v>114923489</v>
      </c>
      <c r="J4" s="3">
        <v>26132</v>
      </c>
      <c r="K4" s="3" t="s">
        <v>294</v>
      </c>
      <c r="L4" s="3">
        <v>505227752</v>
      </c>
      <c r="M4" s="5" t="s">
        <v>295</v>
      </c>
      <c r="N4" s="3"/>
      <c r="O4" s="3"/>
      <c r="P4" s="3"/>
      <c r="Q4" s="3" t="s">
        <v>296</v>
      </c>
      <c r="R4" s="3" t="s">
        <v>196</v>
      </c>
      <c r="S4" s="3" t="s">
        <v>290</v>
      </c>
    </row>
    <row r="5" spans="1:19" ht="15" x14ac:dyDescent="0.2">
      <c r="A5" s="7">
        <v>4</v>
      </c>
      <c r="B5" s="3" t="s">
        <v>297</v>
      </c>
      <c r="C5" s="3" t="s">
        <v>298</v>
      </c>
      <c r="D5" s="3" t="s">
        <v>299</v>
      </c>
      <c r="E5" s="3" t="s">
        <v>300</v>
      </c>
      <c r="F5" s="3">
        <v>1010016778</v>
      </c>
      <c r="G5" s="3" t="s">
        <v>301</v>
      </c>
      <c r="H5" s="3">
        <v>11446555</v>
      </c>
      <c r="I5" s="3">
        <v>11460611</v>
      </c>
      <c r="J5" s="3">
        <v>3549</v>
      </c>
      <c r="K5" s="3" t="s">
        <v>302</v>
      </c>
      <c r="L5" s="3"/>
      <c r="M5" s="3"/>
      <c r="N5" s="3" t="s">
        <v>303</v>
      </c>
      <c r="O5" s="3">
        <v>506453010</v>
      </c>
      <c r="P5" s="5" t="s">
        <v>304</v>
      </c>
      <c r="Q5" s="3" t="s">
        <v>305</v>
      </c>
      <c r="R5" s="3" t="s">
        <v>306</v>
      </c>
      <c r="S5" s="3" t="s">
        <v>307</v>
      </c>
    </row>
    <row r="6" spans="1:19" ht="15" x14ac:dyDescent="0.2">
      <c r="A6" s="7">
        <v>5</v>
      </c>
      <c r="B6" s="3" t="s">
        <v>375</v>
      </c>
      <c r="C6" s="3"/>
      <c r="D6" s="3"/>
      <c r="E6" s="3" t="s">
        <v>376</v>
      </c>
      <c r="F6" s="3">
        <v>1010212278</v>
      </c>
      <c r="G6" s="3" t="s">
        <v>377</v>
      </c>
      <c r="H6" s="3"/>
      <c r="I6" s="3"/>
      <c r="J6" s="3">
        <v>51133</v>
      </c>
      <c r="K6" s="3" t="s">
        <v>378</v>
      </c>
      <c r="L6" s="3"/>
      <c r="M6" s="3"/>
      <c r="N6" s="3" t="s">
        <v>379</v>
      </c>
      <c r="O6" s="3">
        <v>551858622</v>
      </c>
      <c r="P6" s="3"/>
      <c r="Q6" s="3" t="s">
        <v>380</v>
      </c>
      <c r="R6" s="3" t="s">
        <v>381</v>
      </c>
      <c r="S6" s="3" t="s">
        <v>382</v>
      </c>
    </row>
    <row r="7" spans="1:19" ht="28.5" x14ac:dyDescent="0.2">
      <c r="A7" s="7">
        <v>6</v>
      </c>
      <c r="B7" s="3" t="s">
        <v>391</v>
      </c>
      <c r="C7" s="2"/>
      <c r="D7" s="2"/>
      <c r="E7" s="4" t="s">
        <v>392</v>
      </c>
      <c r="F7" s="3">
        <v>1010254301</v>
      </c>
      <c r="G7" s="3" t="s">
        <v>393</v>
      </c>
      <c r="H7" s="3">
        <v>112462070</v>
      </c>
      <c r="I7" s="2"/>
      <c r="J7" s="2"/>
      <c r="K7" s="3" t="s">
        <v>394</v>
      </c>
      <c r="L7" s="2"/>
      <c r="M7" s="2"/>
      <c r="N7" s="3" t="s">
        <v>395</v>
      </c>
      <c r="O7" s="3">
        <v>551864880</v>
      </c>
      <c r="P7" s="2"/>
      <c r="Q7" s="3" t="s">
        <v>396</v>
      </c>
      <c r="R7" s="3" t="s">
        <v>196</v>
      </c>
      <c r="S7" s="3" t="s">
        <v>397</v>
      </c>
    </row>
    <row r="8" spans="1:19" ht="15" x14ac:dyDescent="0.2">
      <c r="A8" s="7">
        <v>7</v>
      </c>
      <c r="B8" s="3" t="s">
        <v>427</v>
      </c>
      <c r="C8" s="3"/>
      <c r="D8" s="3"/>
      <c r="E8" s="3" t="s">
        <v>428</v>
      </c>
      <c r="F8" s="3">
        <v>5855064733</v>
      </c>
      <c r="G8" s="3" t="s">
        <v>429</v>
      </c>
      <c r="H8" s="3"/>
      <c r="I8" s="3"/>
      <c r="J8" s="3"/>
      <c r="K8" s="3" t="s">
        <v>430</v>
      </c>
      <c r="L8" s="3">
        <v>557770246</v>
      </c>
      <c r="M8" s="3"/>
      <c r="N8" s="3"/>
      <c r="O8" s="3"/>
      <c r="P8" s="3"/>
      <c r="Q8" s="3" t="s">
        <v>497</v>
      </c>
      <c r="R8" s="3" t="s">
        <v>168</v>
      </c>
      <c r="S8" s="3" t="s">
        <v>430</v>
      </c>
    </row>
    <row r="9" spans="1:19" ht="15" x14ac:dyDescent="0.2">
      <c r="A9" s="7">
        <v>8</v>
      </c>
      <c r="B9" s="3" t="s">
        <v>493</v>
      </c>
      <c r="C9" s="3"/>
      <c r="D9" s="3"/>
      <c r="E9" s="3" t="s">
        <v>376</v>
      </c>
      <c r="F9" s="3">
        <v>5951100483</v>
      </c>
      <c r="G9" s="3" t="s">
        <v>494</v>
      </c>
      <c r="H9" s="3">
        <v>175325500</v>
      </c>
      <c r="I9" s="3"/>
      <c r="J9" s="3">
        <v>16</v>
      </c>
      <c r="K9" s="3" t="s">
        <v>495</v>
      </c>
      <c r="L9" s="3"/>
      <c r="M9" s="3"/>
      <c r="N9" s="3" t="s">
        <v>496</v>
      </c>
      <c r="O9" s="3"/>
      <c r="P9" s="3"/>
      <c r="Q9" s="3" t="s">
        <v>368</v>
      </c>
      <c r="R9" s="3"/>
      <c r="S9" s="3"/>
    </row>
    <row r="10" spans="1:19" ht="15" x14ac:dyDescent="0.2">
      <c r="A10" s="7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ht="15" x14ac:dyDescent="0.2">
      <c r="A11" s="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</sheetData>
  <customSheetViews>
    <customSheetView guid="{9D30A969-3113-4BF6-AB8E-2B31C086A125}">
      <selection activeCell="A2" sqref="A2"/>
      <pageMargins left="0.7" right="0.7" top="0.75" bottom="0.75" header="0.3" footer="0.3"/>
      <pageSetup orientation="portrait" r:id="rId1"/>
    </customSheetView>
  </customSheetViews>
  <hyperlinks>
    <hyperlink ref="P3" r:id="rId2"/>
    <hyperlink ref="M4" r:id="rId3"/>
    <hyperlink ref="P5" r:id="rId4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7">
    <tabColor theme="7"/>
  </sheetPr>
  <dimension ref="A1:S11"/>
  <sheetViews>
    <sheetView rightToLeft="1" workbookViewId="0">
      <selection activeCell="R19" sqref="R19"/>
    </sheetView>
  </sheetViews>
  <sheetFormatPr defaultRowHeight="14.25" x14ac:dyDescent="0.2"/>
  <cols>
    <col min="2" max="2" width="27.125" customWidth="1"/>
    <col min="3" max="3" width="29.75" customWidth="1"/>
    <col min="4" max="4" width="16.25" customWidth="1"/>
    <col min="5" max="5" width="17.375" customWidth="1"/>
    <col min="6" max="6" width="14.125" customWidth="1"/>
    <col min="7" max="7" width="17" customWidth="1"/>
    <col min="8" max="8" width="15.375" customWidth="1"/>
    <col min="9" max="9" width="14.875" customWidth="1"/>
    <col min="10" max="10" width="19" customWidth="1"/>
    <col min="11" max="11" width="20.75" customWidth="1"/>
    <col min="12" max="12" width="16.375" customWidth="1"/>
    <col min="13" max="13" width="24.75" customWidth="1"/>
    <col min="14" max="14" width="17.875" customWidth="1"/>
    <col min="15" max="15" width="16" customWidth="1"/>
    <col min="16" max="16" width="26.125" customWidth="1"/>
    <col min="17" max="17" width="26.875" customWidth="1"/>
    <col min="18" max="18" width="16.875" customWidth="1"/>
    <col min="19" max="19" width="29.75" customWidth="1"/>
  </cols>
  <sheetData>
    <row r="1" spans="1:19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</row>
    <row r="2" spans="1:19" ht="15" x14ac:dyDescent="0.2">
      <c r="A2" s="7">
        <v>1</v>
      </c>
      <c r="B2" s="3" t="s">
        <v>383</v>
      </c>
      <c r="C2" s="3" t="s">
        <v>384</v>
      </c>
      <c r="D2" s="8"/>
      <c r="E2" s="4" t="s">
        <v>385</v>
      </c>
      <c r="F2" s="3">
        <v>1010022606</v>
      </c>
      <c r="G2" s="3" t="s">
        <v>386</v>
      </c>
      <c r="H2" s="3">
        <v>114235114</v>
      </c>
      <c r="I2" s="3">
        <v>114399680</v>
      </c>
      <c r="J2" s="3">
        <v>10229</v>
      </c>
      <c r="K2" s="3" t="s">
        <v>387</v>
      </c>
      <c r="L2" s="3">
        <v>544008727</v>
      </c>
      <c r="M2" s="8"/>
      <c r="N2" s="3" t="s">
        <v>388</v>
      </c>
      <c r="O2" s="3">
        <v>544008727</v>
      </c>
      <c r="P2" s="8"/>
      <c r="Q2" s="3" t="s">
        <v>389</v>
      </c>
      <c r="R2" s="3" t="s">
        <v>390</v>
      </c>
      <c r="S2" s="3" t="s">
        <v>383</v>
      </c>
    </row>
    <row r="3" spans="1:19" ht="15" x14ac:dyDescent="0.2">
      <c r="A3" s="7">
        <v>2</v>
      </c>
      <c r="B3" s="3" t="s">
        <v>498</v>
      </c>
      <c r="C3" s="3" t="s">
        <v>499</v>
      </c>
      <c r="D3" s="11"/>
      <c r="E3" s="4" t="s">
        <v>500</v>
      </c>
      <c r="F3" s="3">
        <v>1010213852</v>
      </c>
      <c r="G3" s="3" t="s">
        <v>501</v>
      </c>
      <c r="H3" s="3">
        <v>112178922</v>
      </c>
      <c r="I3" s="11">
        <v>112178980</v>
      </c>
      <c r="J3" s="11">
        <v>31295</v>
      </c>
      <c r="K3" s="3" t="s">
        <v>502</v>
      </c>
      <c r="L3" s="11"/>
      <c r="M3" s="11"/>
      <c r="N3" s="3" t="s">
        <v>503</v>
      </c>
      <c r="O3" s="3">
        <v>502008283</v>
      </c>
      <c r="P3" s="5"/>
      <c r="Q3" s="11" t="s">
        <v>504</v>
      </c>
      <c r="R3" s="11" t="s">
        <v>196</v>
      </c>
      <c r="S3" s="11" t="s">
        <v>498</v>
      </c>
    </row>
    <row r="4" spans="1:19" ht="15" x14ac:dyDescent="0.2">
      <c r="A4" s="7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5"/>
      <c r="N4" s="3"/>
      <c r="O4" s="3"/>
      <c r="P4" s="3"/>
      <c r="Q4" s="3"/>
      <c r="R4" s="3"/>
      <c r="S4" s="3"/>
    </row>
    <row r="5" spans="1:19" ht="15" x14ac:dyDescent="0.2">
      <c r="A5" s="7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5"/>
      <c r="Q5" s="3"/>
      <c r="R5" s="3"/>
      <c r="S5" s="3"/>
    </row>
    <row r="6" spans="1:19" ht="15" x14ac:dyDescent="0.2">
      <c r="A6" s="7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ht="15" x14ac:dyDescent="0.2">
      <c r="A7" s="7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15" x14ac:dyDescent="0.2">
      <c r="A8" s="7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15" x14ac:dyDescent="0.2">
      <c r="A9" s="7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15" x14ac:dyDescent="0.2">
      <c r="A10" s="7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15" x14ac:dyDescent="0.2">
      <c r="A11" s="7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</sheetData>
  <customSheetViews>
    <customSheetView guid="{9D30A969-3113-4BF6-AB8E-2B31C086A125}">
      <selection activeCell="F9" sqref="D9:F1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1:AO84"/>
  <sheetViews>
    <sheetView rightToLeft="1" view="pageBreakPreview" zoomScale="60" zoomScaleNormal="100" workbookViewId="0">
      <pane ySplit="1" topLeftCell="A2" activePane="bottomLeft" state="frozen"/>
      <selection pane="bottomLeft" activeCell="A5" sqref="A5"/>
    </sheetView>
  </sheetViews>
  <sheetFormatPr defaultColWidth="20.625" defaultRowHeight="14.25" x14ac:dyDescent="0.2"/>
  <sheetData>
    <row r="1" spans="1:41" ht="15" x14ac:dyDescent="0.25">
      <c r="A1" s="1" t="s">
        <v>743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11</v>
      </c>
      <c r="P1" s="1" t="s">
        <v>12</v>
      </c>
      <c r="Q1" s="1" t="s">
        <v>14</v>
      </c>
      <c r="R1" s="1" t="s">
        <v>15</v>
      </c>
      <c r="S1" s="1" t="s">
        <v>16</v>
      </c>
      <c r="T1" s="15" t="s">
        <v>742</v>
      </c>
      <c r="U1" s="17"/>
      <c r="V1">
        <v>8</v>
      </c>
      <c r="W1" t="str">
        <f>IFERROR(VLOOKUP(V1,A2:T1189,2,0),"")</f>
        <v>ورشة نورة محسن نقاء الردادي للحدادة</v>
      </c>
      <c r="X1">
        <f>IFERROR(VLOOKUP(V1,A2:T3326,3,0),"")</f>
        <v>0</v>
      </c>
      <c r="Y1">
        <f>IFERROR(VLOOKUP(V1,A2:T3326,4,0),"")</f>
        <v>0</v>
      </c>
      <c r="Z1" t="str">
        <f>IFERROR(VLOOKUP(V1,A2:T3326,5,0),"")</f>
        <v>توريد وتركيب فرمة حديد للخرسانات_x000D_
-الحدادة/ورشة حدادة</v>
      </c>
      <c r="AA1">
        <f>IFERROR(VLOOKUP(V1,A2:T3326,6,0),"")</f>
        <v>4650057116</v>
      </c>
      <c r="AB1" t="str">
        <f>IFERROR(VLOOKUP(V1,A2:T3326,7,0),"")</f>
        <v>المدينة المنورة-الجرف_x000D_
-العيون-عثمان بن عفان</v>
      </c>
      <c r="AC1">
        <f>IFERROR(VLOOKUP(V1,A2:T3326,8,0),"")</f>
        <v>0</v>
      </c>
      <c r="AD1">
        <f>IFERROR(VLOOKUP(V1,A2:T3326,9,0),"")</f>
        <v>0</v>
      </c>
      <c r="AE1">
        <f>IFERROR(VLOOKUP(V1,A2:T3326,10,0),"")</f>
        <v>0</v>
      </c>
      <c r="AF1" t="str">
        <f>IFERROR(VLOOKUP(V1,A2:T3326,11,0),"")</f>
        <v>نورة محسن نقاء الردادي</v>
      </c>
      <c r="AG1">
        <f>IFERROR(VLOOKUP(V1,A2:T3326,12,0),"")</f>
        <v>504343728</v>
      </c>
      <c r="AH1">
        <f>IFERROR(VLOOKUP(V1,A2:T3326,13,0),"")</f>
        <v>0</v>
      </c>
      <c r="AI1" t="str">
        <f>IFERROR(VLOOKUP(V1,A2:T3326,14,0),"")</f>
        <v>محمد سليم عبدالغفور</v>
      </c>
      <c r="AJ1">
        <f>IFERROR(VLOOKUP(V1,A2:T3326,15,0),"")</f>
        <v>504343728</v>
      </c>
      <c r="AK1">
        <f>IFERROR(VLOOKUP(V1,A2:T3326,16,0),"")</f>
        <v>0</v>
      </c>
      <c r="AL1">
        <f>IFERROR(VLOOKUP(V1,A2:T3326,17,0),"")</f>
        <v>419608010012842</v>
      </c>
      <c r="AM1" t="str">
        <f>IFERROR(VLOOKUP(V1,A2:T3326,18,0),"")</f>
        <v>بنك الراجحي</v>
      </c>
      <c r="AN1" t="str">
        <f>IFERROR(VLOOKUP(V1,A2:T3326,19,0),"")</f>
        <v>محمد سليم عبدالغفور</v>
      </c>
      <c r="AO1" s="16">
        <f>IFERROR(VLOOKUP(V1,A2:T3326,20,0),"")</f>
        <v>42743</v>
      </c>
    </row>
    <row r="2" spans="1:41" x14ac:dyDescent="0.2">
      <c r="E2" s="14"/>
      <c r="G2" s="14"/>
      <c r="T2" s="16"/>
      <c r="AO2" s="16"/>
    </row>
    <row r="3" spans="1:41" x14ac:dyDescent="0.2">
      <c r="E3" s="14"/>
      <c r="G3" s="14"/>
      <c r="T3" s="16"/>
    </row>
    <row r="4" spans="1:41" x14ac:dyDescent="0.2">
      <c r="E4" s="14"/>
      <c r="G4" s="14"/>
      <c r="T4" s="16"/>
    </row>
    <row r="5" spans="1:41" x14ac:dyDescent="0.2">
      <c r="E5" s="14"/>
      <c r="T5" s="16"/>
    </row>
    <row r="6" spans="1:41" x14ac:dyDescent="0.2">
      <c r="E6" s="14"/>
      <c r="T6" s="16"/>
    </row>
    <row r="83" spans="1:20" x14ac:dyDescent="0.2">
      <c r="A83" t="b">
        <v>1</v>
      </c>
    </row>
    <row r="84" spans="1:20" ht="57" x14ac:dyDescent="0.2">
      <c r="A84">
        <v>8</v>
      </c>
      <c r="B84" t="s">
        <v>244</v>
      </c>
      <c r="C84">
        <v>0</v>
      </c>
      <c r="D84">
        <v>0</v>
      </c>
      <c r="E84" s="14" t="s">
        <v>754</v>
      </c>
      <c r="F84">
        <v>4650057116</v>
      </c>
      <c r="G84" s="14" t="s">
        <v>755</v>
      </c>
      <c r="H84">
        <v>0</v>
      </c>
      <c r="I84">
        <v>0</v>
      </c>
      <c r="J84">
        <v>0</v>
      </c>
      <c r="K84" t="s">
        <v>246</v>
      </c>
      <c r="L84">
        <v>504343728</v>
      </c>
      <c r="M84">
        <v>0</v>
      </c>
      <c r="N84" t="s">
        <v>247</v>
      </c>
      <c r="O84">
        <v>504343728</v>
      </c>
      <c r="P84">
        <v>0</v>
      </c>
      <c r="Q84">
        <v>419608010012842</v>
      </c>
      <c r="R84" t="s">
        <v>46</v>
      </c>
      <c r="S84" t="s">
        <v>247</v>
      </c>
      <c r="T84" s="16">
        <v>42743</v>
      </c>
    </row>
  </sheetData>
  <customSheetViews>
    <customSheetView guid="{9D30A969-3113-4BF6-AB8E-2B31C086A125}">
      <selection activeCell="A2" sqref="A2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rightToLeft="1" workbookViewId="0">
      <selection activeCell="B19" sqref="B19"/>
    </sheetView>
  </sheetViews>
  <sheetFormatPr defaultRowHeight="14.25" x14ac:dyDescent="0.2"/>
  <cols>
    <col min="1" max="1" width="26.875" customWidth="1"/>
    <col min="2" max="2" width="18.125" style="19" customWidth="1"/>
    <col min="3" max="3" width="27" customWidth="1"/>
  </cols>
  <sheetData>
    <row r="1" spans="1:3" ht="15" x14ac:dyDescent="0.25">
      <c r="A1" s="20" t="s">
        <v>752</v>
      </c>
      <c r="B1" s="21" t="s">
        <v>753</v>
      </c>
      <c r="C1" s="20" t="s">
        <v>744</v>
      </c>
    </row>
    <row r="2" spans="1:3" x14ac:dyDescent="0.2">
      <c r="A2" t="s">
        <v>750</v>
      </c>
      <c r="B2" s="19" t="s">
        <v>751</v>
      </c>
      <c r="C2" t="s">
        <v>745</v>
      </c>
    </row>
    <row r="3" spans="1:3" x14ac:dyDescent="0.2">
      <c r="A3" t="s">
        <v>748</v>
      </c>
      <c r="B3" s="19">
        <v>135792</v>
      </c>
      <c r="C3" t="s">
        <v>747</v>
      </c>
    </row>
    <row r="4" spans="1:3" x14ac:dyDescent="0.2">
      <c r="A4" t="s">
        <v>749</v>
      </c>
      <c r="B4" s="19">
        <v>123456</v>
      </c>
      <c r="C4" t="s">
        <v>746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rightToLeft="1" workbookViewId="0">
      <selection activeCell="M20" sqref="M20"/>
    </sheetView>
  </sheetViews>
  <sheetFormatPr defaultRowHeight="14.25" x14ac:dyDescent="0.2"/>
  <sheetData/>
  <customSheetViews>
    <customSheetView guid="{9D30A969-3113-4BF6-AB8E-2B31C086A125}" state="hidden">
      <selection activeCell="M20" sqref="M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الكل</vt:lpstr>
      <vt:lpstr>قطاع الإنشاءات</vt:lpstr>
      <vt:lpstr>قطاع معماري</vt:lpstr>
      <vt:lpstr>قطاع الكهرباء</vt:lpstr>
      <vt:lpstr>قطاع التيار الخفيف</vt:lpstr>
      <vt:lpstr>قطاع الميكانيكا</vt:lpstr>
      <vt:lpstr>قطاع الاتصالات</vt:lpstr>
      <vt:lpstr>جادة الفن</vt:lpstr>
      <vt:lpstr>القائمة السوداء</vt:lpstr>
      <vt:lpstr>الاعدادات</vt:lpstr>
      <vt:lpstr>Sheet1</vt:lpstr>
      <vt:lpstr>'القائمة السوداء'!Print_Area</vt:lpstr>
      <vt:lpstr>Type</vt:lpstr>
      <vt:lpstr>اخرى</vt:lpstr>
      <vt:lpstr>الاتصالات</vt:lpstr>
      <vt:lpstr>الإنشاءات</vt:lpstr>
      <vt:lpstr>الخفيف</vt:lpstr>
      <vt:lpstr>الفن</vt:lpstr>
      <vt:lpstr>الكهرباء</vt:lpstr>
      <vt:lpstr>شء</vt:lpstr>
      <vt:lpstr>معماري</vt:lpstr>
      <vt:lpstr>ميكانيكا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toshiba</cp:lastModifiedBy>
  <dcterms:created xsi:type="dcterms:W3CDTF">2016-08-23T16:06:40Z</dcterms:created>
  <dcterms:modified xsi:type="dcterms:W3CDTF">2017-02-08T09:50:26Z</dcterms:modified>
</cp:coreProperties>
</file>